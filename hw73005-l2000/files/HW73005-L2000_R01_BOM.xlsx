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ce122e66a347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零件清单" sheetId="1" r:id="R597e3680a6d24061"/>
    <x:sheet xmlns:r="http://schemas.openxmlformats.org/officeDocument/2006/relationships" name="图纸目录" sheetId="2" r:id="R05d60936fe254afd"/>
    <x:sheet xmlns:r="http://schemas.openxmlformats.org/officeDocument/2006/relationships" name="三视覆盖" sheetId="3" r:id="R33b4c321322c4b2d"/>
    <x:sheet xmlns:r="http://schemas.openxmlformats.org/officeDocument/2006/relationships" name="复核记录" sheetId="4" r:id="R29d105c3855748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General"/>
    <x:numFmt numFmtId="201" formatCode="0"/>
    <x:numFmt numFmtId="202" formatCode="yyyy-mm-dd"/>
  </x:numFmts>
  <x:fonts count="5">
    <x:font>
      <x:sz val="11"/>
      <x:name val="Carlito"/>
    </x:font>
    <x:font>
      <x:sz val="10"/>
      <x:color rgb="FF25333D"/>
      <x:name val="Arial"/>
    </x:font>
    <x:font>
      <x:b/>
      <x:sz val="15"/>
      <x:color rgb="FF25333D"/>
      <x:name val="Arial"/>
    </x:font>
    <x:font>
      <x:b/>
      <x:sz val="10"/>
      <x:color rgb="FFFFFFFF"/>
      <x:name val="Arial"/>
    </x:font>
    <x:font>
      <x:sz val="10"/>
      <x:color rgb="FF68768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344E61"/>
      </x:patternFill>
    </x:fill>
    <x:fill>
      <x:patternFill patternType="solid">
        <x:fgColor rgb="FFF1F5F7"/>
      </x:patternFill>
    </x:fill>
    <x:fill>
      <x:patternFill patternType="solid">
        <x:fgColor rgb="FFFFF0C9"/>
      </x:patternFill>
    </x:fill>
  </x:fills>
  <x:borders count="5">
    <x:border/>
    <x:border>
      <x:bottom style="thin">
        <x:color rgb="FFD6DFE5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horizontal="right" vertical="top" wrapText="1"/>
    </x:xf>
    <x:xf numFmtId="0" fontId="1" fillId="0" borderId="0" xfId="0" applyNumberFormat="1" applyFont="1" applyFill="1" applyBorder="1" applyAlignment="1">
      <x:alignment horizontal="right" vertical="top" wrapText="1"/>
    </x:xf>
    <x:xf numFmtId="200" fontId="1" fillId="3" borderId="0" xfId="0" applyNumberFormat="1" applyFont="1" applyFill="1" applyBorder="1" applyAlignment="1">
      <x:alignment horizontal="right" vertical="top" wrapText="1"/>
    </x:xf>
    <x:xf numFmtId="200" fontId="1" fillId="0" borderId="0" xfId="0" applyNumberFormat="1" applyFont="1" applyFill="1" applyBorder="1" applyAlignment="1">
      <x:alignment horizontal="right" vertical="top" wrapText="1"/>
    </x:xf>
    <x:xf numFmtId="201" fontId="1" fillId="3" borderId="0" xfId="0" applyNumberFormat="1" applyFont="1" applyFill="1" applyBorder="1" applyAlignment="1">
      <x:alignment horizontal="right" vertical="top" wrapText="1"/>
    </x:xf>
    <x:xf numFmtId="201" fontId="1" fillId="0" borderId="0" xfId="0" applyNumberFormat="1" applyFont="1" applyFill="1" applyBorder="1" applyAlignment="1">
      <x:alignment horizontal="right" vertical="top" wrapText="1"/>
    </x:xf>
    <x:xf numFmtId="0" fontId="4" fillId="0" borderId="1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center"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1" fontId="1" fillId="4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top" wrapText="1"/>
    </x:xf>
    <x:xf numFmtId="0" fontId="1" fillId="0" borderId="0" xfId="0" applyNumberFormat="1" applyFont="1" applyFill="1" applyBorder="1" applyAlignment="1">
      <x:alignment horizontal="center" vertical="top" wrapText="1"/>
    </x:xf>
    <x:xf numFmtId="0" fontId="4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  <x:dxfs count="5">
    <x:dxf>
      <x:fill>
        <x:patternFill patternType="solid">
          <x:bgColor rgb="FFFFF0C9"/>
        </x:patternFill>
      </x:fill>
    </x:dxf>
    <x:dxf>
      <x:fill>
        <x:patternFill patternType="solid">
          <x:bgColor rgb="FFFFF0C9"/>
        </x:patternFill>
      </x:fill>
    </x:dxf>
    <x:dxf>
      <x:fill>
        <x:patternFill patternType="solid">
          <x:bgColor rgb="FFFFF0C9"/>
        </x:patternFill>
      </x:fill>
    </x:dxf>
    <x:dxf>
      <x:font>
        <x:color rgb="FF9C352B"/>
      </x:font>
      <x:fill>
        <x:patternFill patternType="solid">
          <x:bgColor rgb="FFFBE5E1"/>
        </x:patternFill>
      </x:fill>
    </x:dxf>
    <x:dxf>
      <x:fill>
        <x:patternFill patternType="solid">
          <x:bgColor rgb="FFFFF0C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41652f12c548a1" /><Relationship Type="http://schemas.openxmlformats.org/officeDocument/2006/relationships/theme" Target="/xl/theme/theme1.xml" Id="Rf899f42b0412416a" /><Relationship Type="http://schemas.openxmlformats.org/officeDocument/2006/relationships/sharedStrings" Target="/xl/sharedStrings.xml" Id="Rae79de8a823c4487" /><Relationship Type="http://schemas.openxmlformats.org/officeDocument/2006/relationships/worksheet" Target="/xl/worksheets/sheet1.xml" Id="R597e3680a6d24061" /><Relationship Type="http://schemas.openxmlformats.org/officeDocument/2006/relationships/worksheet" Target="/xl/worksheets/sheet2.xml" Id="R05d60936fe254afd" /><Relationship Type="http://schemas.openxmlformats.org/officeDocument/2006/relationships/worksheet" Target="/xl/worksheets/sheet3.xml" Id="R33b4c321322c4b2d" /><Relationship Type="http://schemas.openxmlformats.org/officeDocument/2006/relationships/worksheet" Target="/xl/worksheets/sheet4.xml" Id="R29d105c3855748cb" /></Relationships>
</file>

<file path=xl/tables/table1.xml><?xml version="1.0" encoding="utf-8"?>
<x:table xmlns:x="http://schemas.openxmlformats.org/spreadsheetml/2006/main" id="1" name="PartsTable" displayName="PartsTable" ref="A7:R49" headerRowCount="1" totalsRowCount="0" totalsRowShown="0">
  <x:autoFilter ref="A7:R49"/>
  <x:tableColumns count="18">
    <x:tableColumn id="1" name="编号"/>
    <x:tableColumn id="2" name="零件名称"/>
    <x:tableColumn id="3" name="所属总成"/>
    <x:tableColumn id="4" name="制造 / 采购类别"/>
    <x:tableColumn id="5" name="材料"/>
    <x:tableColumn id="6" name="厚度 mm"/>
    <x:tableColumn id="7" name="单套数量"/>
    <x:tableColumn id="8" name="单位"/>
    <x:tableColumn id="9" name="本批数量"/>
    <x:tableColumn id="10" name="成品尺寸 mm"/>
    <x:tableColumn id="11" name="开料尺寸 mm"/>
    <x:tableColumn id="12" name="工艺 / 表面处理"/>
    <x:tableColumn id="13" name="图号"/>
    <x:tableColumn id="14" name="PDF 页"/>
    <x:tableColumn id="15" name="状态"/>
    <x:tableColumn id="16" name="计数口径"/>
    <x:tableColumn id="17" name="依据"/>
    <x:tableColumn id="18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rawingsTable" displayName="DrawingsTable" ref="A7:H32" headerRowCount="1" totalsRowCount="0" totalsRowShown="0">
  <x:autoFilter ref="A7:H32"/>
  <x:tableColumns count="8">
    <x:tableColumn id="1" name="图号"/>
    <x:tableColumn id="2" name="图纸名称"/>
    <x:tableColumn id="3" name="PDF 页"/>
    <x:tableColumn id="4" name="比例"/>
    <x:tableColumn id="5" name="关联零件 / 总成"/>
    <x:tableColumn id="6" name="状态"/>
    <x:tableColumn id="7" name="内容说明"/>
    <x:tableColumn id="8" name="依据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verageTable" displayName="CoverageTable" ref="A7:K74" headerRowCount="1" totalsRowCount="0" totalsRowShown="0">
  <x:autoFilter ref="A7:K74"/>
  <x:tableColumns count="11">
    <x:tableColumn id="1" name="对象编号"/>
    <x:tableColumn id="2" name="对象名称"/>
    <x:tableColumn id="3" name="对象类型"/>
    <x:tableColumn id="4" name="对应图号"/>
    <x:tableColumn id="5" name="PDF 页"/>
    <x:tableColumn id="6" name="正视图"/>
    <x:tableColumn id="7" name="俯视图"/>
    <x:tableColumn id="8" name="侧视图"/>
    <x:tableColumn id="9" name="状态"/>
    <x:tableColumn id="10" name="所属 / 关联对象"/>
    <x:tableColumn id="11" name="说明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hecksTable" displayName="ChecksTable" ref="A7:D17" headerRowCount="1" totalsRowCount="0" totalsRowShown="0">
  <x:autoFilter ref="A7:D17"/>
  <x:tableColumns count="4">
    <x:tableColumn id="1" name="类别"/>
    <x:tableColumn id="2" name="复核对象"/>
    <x:tableColumn id="3" name="结果"/>
    <x:tableColumn id="4" name="证据 / 处理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d1dddb5b3774da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4eb2eed7e314b3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e5e32fa0484472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f97e06937454209" /></Relationships>
</file>

<file path=xl/worksheets/sheet1.xml><?xml version="1.0" encoding="utf-8"?>
<x:worksheet xmlns:x="http://schemas.openxmlformats.org/spreadsheetml/2006/main">
  <x:sheetPr>
    <x:tabColor rgb="FF344E61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5" hidden="0" customWidth="1"/>
    <x:col min="2" max="2" width="25" hidden="0" customWidth="1"/>
    <x:col min="3" max="3" width="18" hidden="0" customWidth="1"/>
    <x:col min="4" max="4" width="18" hidden="0" customWidth="1"/>
    <x:col min="5" max="5" width="25" hidden="0" customWidth="1"/>
    <x:col min="6" max="6" width="11" hidden="0" customWidth="1"/>
    <x:col min="7" max="7" width="11" hidden="0" customWidth="1"/>
    <x:col min="8" max="8" width="8" hidden="0" customWidth="1"/>
    <x:col min="9" max="9" width="11" hidden="0" customWidth="1"/>
    <x:col min="10" max="10" width="28" hidden="0" customWidth="1"/>
    <x:col min="11" max="11" width="28" hidden="0" customWidth="1"/>
    <x:col min="12" max="12" width="37" hidden="0" customWidth="1"/>
    <x:col min="13" max="13" width="18" hidden="0" customWidth="1"/>
    <x:col min="14" max="14" width="10" hidden="0" customWidth="1"/>
    <x:col min="15" max="15" width="23" hidden="0" customWidth="1"/>
    <x:col min="16" max="16" width="27" hidden="0" customWidth="1"/>
    <x:col min="17" max="17" width="40" hidden="0" customWidth="1"/>
    <x:col min="18" max="18" width="50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30" customHeight="1">
      <x:c r="A2" s="3" t="str">
        <x:v>体验桌零件与采购清单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30" customHeight="1">
      <x:c r="A3" s="21" t="str">
        <x:v>HW73005-L2000　L2000体验桌　R01　尺寸单位 mm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</x:row>
    <x:row r="4" ht="30" customHeight="1">
      <x:c r="A4" s="2" t="str">
        <x:v>批量（套）</x:v>
      </x:c>
      <x:c r="B4" s="26" t="n">
        <x:v>1</x:v>
      </x:c>
      <x:c r="C4" s="2"/>
      <x:c r="D4" s="2" t="str">
        <x:v>版次日期</x:v>
      </x:c>
      <x:c r="E4" s="25" t="n">
        <x:v>46296</x:v>
      </x:c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30" customHeight="1">
      <x:c r="A5" s="29" t="str">
        <x:v>黄色单元格为本批套数。本批数量 = 单套数量 × 套数；空白数量表示待核实。总成与子件不叠加汇总。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 ht="30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</x:row>
    <x:row r="7" ht="32" customHeight="1">
      <x:c r="A7" s="9" t="str">
        <x:v>编号</x:v>
      </x:c>
      <x:c r="B7" s="10" t="str">
        <x:v>零件名称</x:v>
      </x:c>
      <x:c r="C7" s="10" t="str">
        <x:v>所属总成</x:v>
      </x:c>
      <x:c r="D7" s="10" t="str">
        <x:v>制造 / 采购类别</x:v>
      </x:c>
      <x:c r="E7" s="10" t="str">
        <x:v>材料</x:v>
      </x:c>
      <x:c r="F7" s="10" t="str">
        <x:v>厚度 mm</x:v>
      </x:c>
      <x:c r="G7" s="10" t="str">
        <x:v>单套数量</x:v>
      </x:c>
      <x:c r="H7" s="10" t="str">
        <x:v>单位</x:v>
      </x:c>
      <x:c r="I7" s="10" t="str">
        <x:v>本批数量</x:v>
      </x:c>
      <x:c r="J7" s="10" t="str">
        <x:v>成品尺寸 mm</x:v>
      </x:c>
      <x:c r="K7" s="10" t="str">
        <x:v>开料尺寸 mm</x:v>
      </x:c>
      <x:c r="L7" s="10" t="str">
        <x:v>工艺 / 表面处理</x:v>
      </x:c>
      <x:c r="M7" s="10" t="str">
        <x:v>图号</x:v>
      </x:c>
      <x:c r="N7" s="10" t="str">
        <x:v>PDF 页</x:v>
      </x:c>
      <x:c r="O7" s="10" t="str">
        <x:v>状态</x:v>
      </x:c>
      <x:c r="P7" s="10" t="str">
        <x:v>计数口径</x:v>
      </x:c>
      <x:c r="Q7" s="10" t="str">
        <x:v>依据</x:v>
      </x:c>
      <x:c r="R7" s="11" t="str">
        <x:v>备注</x:v>
      </x:c>
    </x:row>
    <x:row r="8" ht="36" hidden="0" customHeight="1">
      <x:c r="A8" s="14" t="str">
        <x:v>A01</x:v>
      </x:c>
      <x:c r="B8" s="14" t="str">
        <x:v>体验桌总装</x:v>
      </x:c>
      <x:c r="C8" s="14" t="str">
        <x:v>整桌</x:v>
      </x:c>
      <x:c r="D8" s="14" t="str">
        <x:v>装配</x:v>
      </x:c>
      <x:c r="E8" s="14" t="str">
        <x:v>详见子件</x:v>
      </x:c>
      <x:c r="F8" s="17"/>
      <x:c r="G8" s="17" t="n">
        <x:v>1</x:v>
      </x:c>
      <x:c r="H8" s="27" t="str">
        <x:v>套</x:v>
      </x:c>
      <x:c r="I8" s="17" t="n">
        <x:f>IF(ISBLANK(G8),"",G8*$B$4)</x:f>
        <x:v>1</x:v>
      </x:c>
      <x:c r="J8" s="14" t="str">
        <x:v>2000×1200×900</x:v>
      </x:c>
      <x:c r="K8" s="14" t="str"/>
      <x:c r="L8" s="14" t="str">
        <x:v>按图装配→试装检验</x:v>
      </x:c>
      <x:c r="M8" s="14" t="str">
        <x:v>A01</x:v>
      </x:c>
      <x:c r="N8" s="19" t="n">
        <x:v>1</x:v>
      </x:c>
      <x:c r="O8" s="14" t="str">
        <x:v>图纸数字核对；实物首件未执行</x:v>
      </x:c>
      <x:c r="P8" s="14" t="str">
        <x:v>装配数量；材料按子件领用</x:v>
      </x:c>
      <x:c r="Q8" s="14" t="str">
        <x:v>顾客DWG；R01尺寸协调</x:v>
      </x:c>
      <x:c r="R8" s="14" t="str">
        <x:v>总成数量不重复计入领料</x:v>
      </x:c>
    </x:row>
    <x:row r="9" ht="36" hidden="0" customHeight="1">
      <x:c r="A9" s="13" t="str">
        <x:v>A04</x:v>
      </x:c>
      <x:c r="B9" s="13" t="str">
        <x:v>焊接钢结构总成</x:v>
      </x:c>
      <x:c r="C9" s="13" t="str">
        <x:v>A01</x:v>
      </x:c>
      <x:c r="D9" s="13" t="str">
        <x:v>装配</x:v>
      </x:c>
      <x:c r="E9" s="13" t="str">
        <x:v>详见子件</x:v>
      </x:c>
      <x:c r="F9" s="18"/>
      <x:c r="G9" s="18" t="n">
        <x:v>1</x:v>
      </x:c>
      <x:c r="H9" s="28" t="str">
        <x:v>套</x:v>
      </x:c>
      <x:c r="I9" s="18" t="n">
        <x:f>IF(ISBLANK(G9),"",G9*$B$4)</x:f>
        <x:v>1</x:v>
      </x:c>
      <x:c r="J9" s="13" t="str">
        <x:v>1990×1190×882（含脚）</x:v>
      </x:c>
      <x:c r="K9" s="13" t="str"/>
      <x:c r="L9" s="13" t="str">
        <x:v>按图装配→试装检验</x:v>
      </x:c>
      <x:c r="M9" s="13" t="str">
        <x:v>A04</x:v>
      </x:c>
      <x:c r="N9" s="20" t="n">
        <x:v>3</x:v>
      </x:c>
      <x:c r="O9" s="13" t="str">
        <x:v>图纸数字核对；实物首件未执行</x:v>
      </x:c>
      <x:c r="P9" s="13" t="str">
        <x:v>装配数量；材料按子件领用</x:v>
      </x:c>
      <x:c r="Q9" s="13" t="str">
        <x:v>顾客DWG；R01尺寸协调</x:v>
      </x:c>
      <x:c r="R9" s="13" t="str">
        <x:v>总成数量不重复计入领料</x:v>
      </x:c>
    </x:row>
    <x:row r="10" ht="36" hidden="0" customHeight="1">
      <x:c r="A10" s="14" t="str">
        <x:v>A03</x:v>
      </x:c>
      <x:c r="B10" s="14" t="str">
        <x:v>桌面翻盖总成</x:v>
      </x:c>
      <x:c r="C10" s="14" t="str">
        <x:v>A01</x:v>
      </x:c>
      <x:c r="D10" s="14" t="str">
        <x:v>装配</x:v>
      </x:c>
      <x:c r="E10" s="14" t="str">
        <x:v>阻燃多层三聚氰胺板+科技木皮</x:v>
      </x:c>
      <x:c r="F10" s="17" t="n">
        <x:v>18</x:v>
      </x:c>
      <x:c r="G10" s="17" t="n">
        <x:v>1</x:v>
      </x:c>
      <x:c r="H10" s="27" t="str">
        <x:v>组</x:v>
      </x:c>
      <x:c r="I10" s="17" t="n">
        <x:f>IF(ISBLANK(G10),"",G10*$B$4)</x:f>
        <x:v>1</x:v>
      </x:c>
      <x:c r="J10" s="14" t="str">
        <x:v>2000×1200×18</x:v>
      </x:c>
      <x:c r="K10" s="14" t="str">
        <x:v>不另计材料</x:v>
      </x:c>
      <x:c r="L10" s="14" t="str">
        <x:v>同板裁切、开槽、钻孔、封边、磨边</x:v>
      </x:c>
      <x:c r="M10" s="14" t="str">
        <x:v>A03</x:v>
      </x:c>
      <x:c r="N10" s="19" t="n">
        <x:v>4</x:v>
      </x:c>
      <x:c r="O10" s="14" t="str">
        <x:v>成型三视已绘；五金安装按实物配孔</x:v>
      </x:c>
      <x:c r="P10" s="14" t="str">
        <x:v>装配数量；材料按子件领用</x:v>
      </x:c>
      <x:c r="Q10" s="14" t="str">
        <x:v>原图总装顶视及D节点；同版控制R01</x:v>
      </x:c>
      <x:c r="R10" s="14" t="str">
        <x:v>R01成品含封边；Ø10.9名义孔配合按样板；不得把护套Ø11.9法兰当通孔。底面12个φ2.5深10盲孔配H09木螺钉。</x:v>
      </x:c>
    </x:row>
    <x:row r="11" ht="36" hidden="0" customHeight="1">
      <x:c r="A11" s="13" t="str">
        <x:v>A05</x:v>
      </x:c>
      <x:c r="B11" s="13" t="str">
        <x:v>翻盖承托盒总成</x:v>
      </x:c>
      <x:c r="C11" s="13" t="str">
        <x:v>A03</x:v>
      </x:c>
      <x:c r="D11" s="13" t="str">
        <x:v>装配</x:v>
      </x:c>
      <x:c r="E11" s="13" t="str">
        <x:v>R01选用阻燃多层板</x:v>
      </x:c>
      <x:c r="F11" s="18"/>
      <x:c r="G11" s="18" t="n">
        <x:v>2</x:v>
      </x:c>
      <x:c r="H11" s="28" t="str">
        <x:v>组</x:v>
      </x:c>
      <x:c r="I11" s="18" t="n">
        <x:f>IF(ISBLANK(G11),"",G11*$B$4)</x:f>
        <x:v>2</x:v>
      </x:c>
      <x:c r="J11" s="13" t="str">
        <x:v>330×230×96；内净300×200</x:v>
      </x:c>
      <x:c r="K11" s="13" t="str">
        <x:v>不另计材料</x:v>
      </x:c>
      <x:c r="L11" s="13" t="str">
        <x:v>侧板围合、底板托底；预装后配孔固定</x:v>
      </x:c>
      <x:c r="M11" s="13" t="str">
        <x:v>A05</x:v>
      </x:c>
      <x:c r="N11" s="20" t="n">
        <x:v>5</x:v>
      </x:c>
      <x:c r="O11" s="13" t="str">
        <x:v>成型三视已绘；五金安装按实物配孔</x:v>
      </x:c>
      <x:c r="P11" s="13" t="str">
        <x:v>装配数量；材料按子件领用</x:v>
      </x:c>
      <x:c r="Q11" s="13" t="str">
        <x:v>原图总装顶视及D节点；同版控制R01</x:v>
      </x:c>
      <x:c r="R11" s="13" t="str">
        <x:v>盒材质原图未单独引线；R01选材。有孔端朝走线侧。</x:v>
      </x:c>
    </x:row>
    <x:row r="12" ht="36" hidden="0" customHeight="1">
      <x:c r="A12" s="14" t="str">
        <x:v>W01</x:v>
      </x:c>
      <x:c r="B12" s="14" t="str">
        <x:v>桌面主板</x:v>
      </x:c>
      <x:c r="C12" s="14" t="str">
        <x:v>A03</x:v>
      </x:c>
      <x:c r="D12" s="14" t="str">
        <x:v>木作</x:v>
      </x:c>
      <x:c r="E12" s="14" t="str">
        <x:v>阻燃多层三聚氰胺板+科技木皮</x:v>
      </x:c>
      <x:c r="F12" s="17" t="n">
        <x:v>18</x:v>
      </x:c>
      <x:c r="G12" s="17" t="n">
        <x:v>1</x:v>
      </x:c>
      <x:c r="H12" s="27" t="str">
        <x:v>件</x:v>
      </x:c>
      <x:c r="I12" s="17" t="n">
        <x:f>IF(ISBLANK(G12),"",G12*$B$4)</x:f>
        <x:v>1</x:v>
      </x:c>
      <x:c r="J12" s="14" t="str">
        <x:v>2000×1200×18</x:v>
      </x:c>
      <x:c r="K12" s="14" t="str">
        <x:v>基板1999.5×1199.5×18，四周封T0.25木皮</x:v>
      </x:c>
      <x:c r="L12" s="14" t="str">
        <x:v>同板裁切、开槽、钻孔、封边、磨边</x:v>
      </x:c>
      <x:c r="M12" s="14" t="str">
        <x:v>W01</x:v>
      </x:c>
      <x:c r="N12" s="19" t="n">
        <x:v>6</x:v>
      </x:c>
      <x:c r="O12" s="14" t="str">
        <x:v>成型三视已绘；五金安装按实物配孔</x:v>
      </x:c>
      <x:c r="P12" s="14" t="str">
        <x:v>制造零件数量</x:v>
      </x:c>
      <x:c r="Q12" s="14" t="str">
        <x:v>原图总装顶视及D节点；同版控制R01</x:v>
      </x:c>
      <x:c r="R12" s="14" t="str">
        <x:v>R01成品含封边；Ø10.9名义孔配合按样板；不得把护套Ø11.9法兰当通孔。底面12个φ2.5深10盲孔配H09木螺钉。</x:v>
      </x:c>
    </x:row>
    <x:row r="13" ht="36" hidden="0" customHeight="1">
      <x:c r="A13" s="13" t="str">
        <x:v>W02A</x:v>
      </x:c>
      <x:c r="B13" s="13" t="str">
        <x:v>桌面有槽翻盖板</x:v>
      </x:c>
      <x:c r="C13" s="13" t="str">
        <x:v>A03</x:v>
      </x:c>
      <x:c r="D13" s="13" t="str">
        <x:v>木作</x:v>
      </x:c>
      <x:c r="E13" s="13" t="str">
        <x:v>同桌面T18阻燃多层三聚氰胺板</x:v>
      </x:c>
      <x:c r="F13" s="18" t="n">
        <x:v>18</x:v>
      </x:c>
      <x:c r="G13" s="18" t="n">
        <x:v>2</x:v>
      </x:c>
      <x:c r="H13" s="28" t="str">
        <x:v>件</x:v>
      </x:c>
      <x:c r="I13" s="18" t="n">
        <x:f>IF(ISBLANK(G13),"",G13*$B$4)</x:f>
        <x:v>2</x:v>
      </x:c>
      <x:c r="J13" s="13" t="str">
        <x:v>298×58×18，底侧28×7让位</x:v>
      </x:c>
      <x:c r="K13" s="13" t="str">
        <x:v>同W01原板顺纹裁切；保留锯缝工艺量</x:v>
      </x:c>
      <x:c r="L13" s="13" t="str">
        <x:v>同板取料、开让位、磨边、五金配孔</x:v>
      </x:c>
      <x:c r="M13" s="13" t="str">
        <x:v>W02</x:v>
      </x:c>
      <x:c r="N13" s="20" t="n">
        <x:v>7</x:v>
      </x:c>
      <x:c r="O13" s="13" t="str">
        <x:v>成型三视已绘；五金安装按实物配孔</x:v>
      </x:c>
      <x:c r="P13" s="13" t="str">
        <x:v>制造零件数量</x:v>
      </x:c>
      <x:c r="Q13" s="13" t="str">
        <x:v>原图总装顶视及D节点；同版控制R01</x:v>
      </x:c>
      <x:c r="R13" s="13" t="str">
        <x:v>源D 0x8469…0x846e；R01长度298；安装在开口Y低值侧，槽口朝中央毛刷。</x:v>
      </x:c>
    </x:row>
    <x:row r="14" ht="36" hidden="0" customHeight="1">
      <x:c r="A14" s="14" t="str">
        <x:v>W02B</x:v>
      </x:c>
      <x:c r="B14" s="14" t="str">
        <x:v>桌面实截面翻盖板</x:v>
      </x:c>
      <x:c r="C14" s="14" t="str">
        <x:v>A03</x:v>
      </x:c>
      <x:c r="D14" s="14" t="str">
        <x:v>木作</x:v>
      </x:c>
      <x:c r="E14" s="14" t="str">
        <x:v>同桌面T18阻燃多层三聚氰胺板</x:v>
      </x:c>
      <x:c r="F14" s="17" t="n">
        <x:v>18</x:v>
      </x:c>
      <x:c r="G14" s="17" t="n">
        <x:v>2</x:v>
      </x:c>
      <x:c r="H14" s="27" t="str">
        <x:v>件</x:v>
      </x:c>
      <x:c r="I14" s="17" t="n">
        <x:f>IF(ISBLANK(G14),"",G14*$B$4)</x:f>
        <x:v>2</x:v>
      </x:c>
      <x:c r="J14" s="14" t="str">
        <x:v>298×58×18，实截面</x:v>
      </x:c>
      <x:c r="K14" s="14" t="str">
        <x:v>同W01原板顺纹裁切；保留锯缝工艺量</x:v>
      </x:c>
      <x:c r="L14" s="14" t="str">
        <x:v>同板取料、磨边、五金配孔</x:v>
      </x:c>
      <x:c r="M14" s="14" t="str">
        <x:v>W02</x:v>
      </x:c>
      <x:c r="N14" s="19" t="n">
        <x:v>7</x:v>
      </x:c>
      <x:c r="O14" s="14" t="str">
        <x:v>成型三视已绘；五金安装按实物配孔</x:v>
      </x:c>
      <x:c r="P14" s="14" t="str">
        <x:v>制造零件数量</x:v>
      </x:c>
      <x:c r="Q14" s="14" t="str">
        <x:v>原图总装顶视及D节点；同版控制R01</x:v>
      </x:c>
      <x:c r="R14" s="14" t="str">
        <x:v>源D 0x8465…0x8468；R01长度298；安装在开口Y高值侧，不复制A盖让位槽。</x:v>
      </x:c>
    </x:row>
    <x:row r="15" ht="36" hidden="0" customHeight="1">
      <x:c r="A15" s="13" t="str">
        <x:v>W03</x:v>
      </x:c>
      <x:c r="B15" s="13" t="str">
        <x:v>承托盒长侧板</x:v>
      </x:c>
      <x:c r="C15" s="13" t="str">
        <x:v>A05</x:v>
      </x:c>
      <x:c r="D15" s="13" t="str">
        <x:v>木作</x:v>
      </x:c>
      <x:c r="E15" s="13" t="str">
        <x:v>R01选用阻燃多层板</x:v>
      </x:c>
      <x:c r="F15" s="18" t="n">
        <x:v>15</x:v>
      </x:c>
      <x:c r="G15" s="18" t="n">
        <x:v>4</x:v>
      </x:c>
      <x:c r="H15" s="28" t="str">
        <x:v>件</x:v>
      </x:c>
      <x:c r="I15" s="18" t="n">
        <x:f>IF(ISBLANK(G15),"",G15*$B$4)</x:f>
        <x:v>4</x:v>
      </x:c>
      <x:c r="J15" s="13" t="str">
        <x:v>330×91×15</x:v>
      </x:c>
      <x:c r="K15" s="13" t="str">
        <x:v>按成品净形，磨边余量按工艺</x:v>
      </x:c>
      <x:c r="L15" s="13" t="str">
        <x:v>裁切、磨边、饰面、试装配孔</x:v>
      </x:c>
      <x:c r="M15" s="13" t="str">
        <x:v>W03</x:v>
      </x:c>
      <x:c r="N15" s="20" t="n">
        <x:v>8</x:v>
      </x:c>
      <x:c r="O15" s="13" t="str">
        <x:v>成型三视已绘；五金安装按实物配孔</x:v>
      </x:c>
      <x:c r="P15" s="13" t="str">
        <x:v>制造零件数量</x:v>
      </x:c>
      <x:c r="Q15" s="13" t="str">
        <x:v>原图总装顶视及D节点；同版控制R01</x:v>
      </x:c>
      <x:c r="R15" s="13" t="str">
        <x:v>每盒2片；源330/300、230/200链推算T15，材质为R01选择。</x:v>
      </x:c>
    </x:row>
    <x:row r="16" ht="36" hidden="0" customHeight="1">
      <x:c r="A16" s="14" t="str">
        <x:v>W04A</x:v>
      </x:c>
      <x:c r="B16" s="14" t="str">
        <x:v>承托盒短侧板（有孔）</x:v>
      </x:c>
      <x:c r="C16" s="14" t="str">
        <x:v>A05</x:v>
      </x:c>
      <x:c r="D16" s="14" t="str">
        <x:v>木作</x:v>
      </x:c>
      <x:c r="E16" s="14" t="str">
        <x:v>R01选用阻燃多层板</x:v>
      </x:c>
      <x:c r="F16" s="17" t="n">
        <x:v>15</x:v>
      </x:c>
      <x:c r="G16" s="17" t="n">
        <x:v>2</x:v>
      </x:c>
      <x:c r="H16" s="27" t="str">
        <x:v>件</x:v>
      </x:c>
      <x:c r="I16" s="17" t="n">
        <x:f>IF(ISBLANK(G16),"",G16*$B$4)</x:f>
        <x:v>2</x:v>
      </x:c>
      <x:c r="J16" s="14" t="str">
        <x:v>200×91×15，φ50孔中心100/51</x:v>
      </x:c>
      <x:c r="K16" s="14" t="str">
        <x:v>按成品净形</x:v>
      </x:c>
      <x:c r="L16" s="14" t="str">
        <x:v>裁切、开φ50孔、护口试装、磨边</x:v>
      </x:c>
      <x:c r="M16" s="14" t="str">
        <x:v>W04</x:v>
      </x:c>
      <x:c r="N16" s="19" t="n">
        <x:v>9</x:v>
      </x:c>
      <x:c r="O16" s="14" t="str">
        <x:v>成型三视已绘；五金安装按实物配孔</x:v>
      </x:c>
      <x:c r="P16" s="14" t="str">
        <x:v>制造零件数量</x:v>
      </x:c>
      <x:c r="Q16" s="14" t="str">
        <x:v>原图总装顶视及D节点；同版控制R01</x:v>
      </x:c>
      <x:c r="R16" s="14" t="str">
        <x:v>源0x84dd圆心/半径；每盒有孔端1件，朝接线通道。</x:v>
      </x:c>
    </x:row>
    <x:row r="17" ht="36" hidden="0" customHeight="1">
      <x:c r="A17" s="13" t="str">
        <x:v>W04B</x:v>
      </x:c>
      <x:c r="B17" s="13" t="str">
        <x:v>承托盒短侧板（实板）</x:v>
      </x:c>
      <x:c r="C17" s="13" t="str">
        <x:v>A05</x:v>
      </x:c>
      <x:c r="D17" s="13" t="str">
        <x:v>木作</x:v>
      </x:c>
      <x:c r="E17" s="13" t="str">
        <x:v>R01选用阻燃多层板</x:v>
      </x:c>
      <x:c r="F17" s="18" t="n">
        <x:v>15</x:v>
      </x:c>
      <x:c r="G17" s="18" t="n">
        <x:v>2</x:v>
      </x:c>
      <x:c r="H17" s="28" t="str">
        <x:v>件</x:v>
      </x:c>
      <x:c r="I17" s="18" t="n">
        <x:f>IF(ISBLANK(G17),"",G17*$B$4)</x:f>
        <x:v>2</x:v>
      </x:c>
      <x:c r="J17" s="13" t="str">
        <x:v>200×91×15</x:v>
      </x:c>
      <x:c r="K17" s="13" t="str">
        <x:v>按成品净形</x:v>
      </x:c>
      <x:c r="L17" s="13" t="str">
        <x:v>裁切、磨边、试装配孔</x:v>
      </x:c>
      <x:c r="M17" s="13" t="str">
        <x:v>W04</x:v>
      </x:c>
      <x:c r="N17" s="20" t="n">
        <x:v>9</x:v>
      </x:c>
      <x:c r="O17" s="13" t="str">
        <x:v>成型三视已绘；五金安装按实物配孔</x:v>
      </x:c>
      <x:c r="P17" s="13" t="str">
        <x:v>制造零件数量</x:v>
      </x:c>
      <x:c r="Q17" s="13" t="str">
        <x:v>原图总装顶视及D节点；同版控制R01</x:v>
      </x:c>
      <x:c r="R17" s="13" t="str">
        <x:v>R01另一端保留实板；不按未证实的对称关系增加过线孔。</x:v>
      </x:c>
    </x:row>
    <x:row r="18" ht="36" hidden="0" customHeight="1">
      <x:c r="A18" s="14" t="str">
        <x:v>W05</x:v>
      </x:c>
      <x:c r="B18" s="14" t="str">
        <x:v>承托盒底板</x:v>
      </x:c>
      <x:c r="C18" s="14" t="str">
        <x:v>A05</x:v>
      </x:c>
      <x:c r="D18" s="14" t="str">
        <x:v>木作</x:v>
      </x:c>
      <x:c r="E18" s="14" t="str">
        <x:v>R01选用阻燃多层板</x:v>
      </x:c>
      <x:c r="F18" s="17" t="n">
        <x:v>5</x:v>
      </x:c>
      <x:c r="G18" s="17" t="n">
        <x:v>2</x:v>
      </x:c>
      <x:c r="H18" s="27" t="str">
        <x:v>件</x:v>
      </x:c>
      <x:c r="I18" s="17" t="n">
        <x:f>IF(ISBLANK(G18),"",G18*$B$4)</x:f>
        <x:v>2</x:v>
      </x:c>
      <x:c r="J18" s="14" t="str">
        <x:v>330×230×5</x:v>
      </x:c>
      <x:c r="K18" s="14" t="str">
        <x:v>按成品净形</x:v>
      </x:c>
      <x:c r="L18" s="14" t="str">
        <x:v>裁切、磨边、围板托底装配</x:v>
      </x:c>
      <x:c r="M18" s="14" t="str">
        <x:v>W05</x:v>
      </x:c>
      <x:c r="N18" s="19" t="n">
        <x:v>10</x:v>
      </x:c>
      <x:c r="O18" s="14" t="str">
        <x:v>成型三视已绘；五金安装按实物配孔</x:v>
      </x:c>
      <x:c r="P18" s="14" t="str">
        <x:v>制造零件数量</x:v>
      </x:c>
      <x:c r="Q18" s="14" t="str">
        <x:v>原图总装顶视及D节点；同版控制R01</x:v>
      </x:c>
      <x:c r="R18" s="14" t="str">
        <x:v>T5为源D节点实线归一结果；材质选用在R01声明。</x:v>
      </x:c>
    </x:row>
    <x:row r="19" ht="36" hidden="0" customHeight="1">
      <x:c r="A19" s="13" t="str">
        <x:v>S01</x:v>
      </x:c>
      <x:c r="B19" s="13" t="str">
        <x:v>长边斜腹板</x:v>
      </x:c>
      <x:c r="C19" s="13" t="str">
        <x:v>A04</x:v>
      </x:c>
      <x:c r="D19" s="13" t="str">
        <x:v>钣金</x:v>
      </x:c>
      <x:c r="E19" s="13" t="str">
        <x:v>冷轧钢板</x:v>
      </x:c>
      <x:c r="F19" s="18" t="n">
        <x:v>1.5</x:v>
      </x:c>
      <x:c r="G19" s="18" t="n">
        <x:v>2</x:v>
      </x:c>
      <x:c r="H19" s="28" t="str">
        <x:v>件</x:v>
      </x:c>
      <x:c r="I19" s="18" t="n">
        <x:f>IF(ISBLANK(G19),"",G19*$B$4)</x:f>
        <x:v>2</x:v>
      </x:c>
      <x:c r="J19" s="13" t="str">
        <x:v>上口1958.5 / 下口1779.06 × 高100；截面横包110.3</x:v>
      </x:c>
      <x:c r="K19" s="13" t="str">
        <x:v>按成型图、实际板材与折弯机试折反算</x:v>
      </x:c>
      <x:c r="L19" s="13" t="str">
        <x:v>激光切割→折弯/成型→端口放样→点固校方→焊接打磨→按样板表面处理</x:v>
      </x:c>
      <x:c r="M19" s="13" t="str">
        <x:v>S01</x:v>
      </x:c>
      <x:c r="N19" s="20" t="n">
        <x:v>11</x:v>
      </x:c>
      <x:c r="O19" s="13" t="str">
        <x:v>成型控制；展开补偿按设备首件</x:v>
      </x:c>
      <x:c r="P19" s="13" t="str">
        <x:v>制造零件数量</x:v>
      </x:c>
      <x:c r="Q19" s="13" t="str">
        <x:v>顾客DWG有效图形 + R01分片</x:v>
      </x:c>
      <x:c r="R19" s="13" t="str">
        <x:v>颜色、光泽、焊缝处理按样板；去毛刺、不得割手</x:v>
      </x:c>
    </x:row>
    <x:row r="20" ht="36" hidden="0" customHeight="1">
      <x:c r="A20" s="14" t="str">
        <x:v>S02</x:v>
      </x:c>
      <x:c r="B20" s="14" t="str">
        <x:v>短边斜腹板</x:v>
      </x:c>
      <x:c r="C20" s="14" t="str">
        <x:v>A04</x:v>
      </x:c>
      <x:c r="D20" s="14" t="str">
        <x:v>钣金</x:v>
      </x:c>
      <x:c r="E20" s="14" t="str">
        <x:v>冷轧钢板</x:v>
      </x:c>
      <x:c r="F20" s="17" t="n">
        <x:v>1.5</x:v>
      </x:c>
      <x:c r="G20" s="17" t="n">
        <x:v>2</x:v>
      </x:c>
      <x:c r="H20" s="27" t="str">
        <x:v>件</x:v>
      </x:c>
      <x:c r="I20" s="17" t="n">
        <x:f>IF(ISBLANK(G20),"",G20*$B$4)</x:f>
        <x:v>2</x:v>
      </x:c>
      <x:c r="J20" s="14" t="str">
        <x:v>上口1158.5 / 下口979.056 × 高100；截面横包110.3</x:v>
      </x:c>
      <x:c r="K20" s="14" t="str">
        <x:v>按成型图、实际板材与折弯机试折反算</x:v>
      </x:c>
      <x:c r="L20" s="14" t="str">
        <x:v>激光切割→折弯/成型→端口放样→点固校方→焊接打磨→按样板表面处理</x:v>
      </x:c>
      <x:c r="M20" s="14" t="str">
        <x:v>S02</x:v>
      </x:c>
      <x:c r="N20" s="19" t="n">
        <x:v>12</x:v>
      </x:c>
      <x:c r="O20" s="14" t="str">
        <x:v>成型控制；展开补偿按设备首件</x:v>
      </x:c>
      <x:c r="P20" s="14" t="str">
        <x:v>制造零件数量</x:v>
      </x:c>
      <x:c r="Q20" s="14" t="str">
        <x:v>顾客DWG有效图形 + R01分片</x:v>
      </x:c>
      <x:c r="R20" s="14" t="str">
        <x:v>颜色、光泽、焊缝处理按样板；去毛刺、不得割手</x:v>
      </x:c>
    </x:row>
    <x:row r="21" ht="36" hidden="0" customHeight="1">
      <x:c r="A21" s="13" t="str">
        <x:v>A07</x:v>
      </x:c>
      <x:c r="B21" s="13" t="str">
        <x:v>刀形桌腿焊接总成</x:v>
      </x:c>
      <x:c r="C21" s="13" t="str">
        <x:v>A04</x:v>
      </x:c>
      <x:c r="D21" s="13" t="str">
        <x:v>装配</x:v>
      </x:c>
      <x:c r="E21" s="13" t="str">
        <x:v>冷轧钢板 + M8脚件</x:v>
      </x:c>
      <x:c r="F21" s="18"/>
      <x:c r="G21" s="18" t="n">
        <x:v>4</x:v>
      </x:c>
      <x:c r="H21" s="28" t="str">
        <x:v>组</x:v>
      </x:c>
      <x:c r="I21" s="18" t="n">
        <x:f>IF(ISBLANK(G21),"",G21*$B$4)</x:f>
        <x:v>4</x:v>
      </x:c>
      <x:c r="J21" s="13" t="str">
        <x:v>131.062×27.933×882（含脚5）</x:v>
      </x:c>
      <x:c r="K21" s="13" t="str"/>
      <x:c r="L21" s="13" t="str">
        <x:v>点固→校正→焊接→打磨→装脚</x:v>
      </x:c>
      <x:c r="M21" s="13" t="str">
        <x:v>A07</x:v>
      </x:c>
      <x:c r="N21" s="20" t="n">
        <x:v>13</x:v>
      </x:c>
      <x:c r="O21" s="13" t="str">
        <x:v>R01分片与高度修正</x:v>
      </x:c>
      <x:c r="P21" s="13" t="str">
        <x:v>装配数量；材料按子件领用</x:v>
      </x:c>
      <x:c r="Q21" s="13" t="str">
        <x:v>顾客DWG有效图形 + R01分片</x:v>
      </x:c>
      <x:c r="R21" s="13" t="str">
        <x:v>颜色、光泽、焊缝处理按样板；去毛刺、不得割手</x:v>
      </x:c>
    </x:row>
    <x:row r="22" ht="36" hidden="0" customHeight="1">
      <x:c r="A22" s="14" t="str">
        <x:v>S03A</x:v>
      </x:c>
      <x:c r="B22" s="14" t="str">
        <x:v>刀形腿开口壳</x:v>
      </x:c>
      <x:c r="C22" s="14" t="str">
        <x:v>A07</x:v>
      </x:c>
      <x:c r="D22" s="14" t="str">
        <x:v>钣金</x:v>
      </x:c>
      <x:c r="E22" s="14" t="str">
        <x:v>冷轧钢板</x:v>
      </x:c>
      <x:c r="F22" s="17" t="n">
        <x:v>1.5</x:v>
      </x:c>
      <x:c r="G22" s="17" t="n">
        <x:v>4</x:v>
      </x:c>
      <x:c r="H22" s="27" t="str">
        <x:v>件</x:v>
      </x:c>
      <x:c r="I22" s="17" t="n">
        <x:f>IF(ISBLANK(G22),"",G22*$B$4)</x:f>
        <x:v>4</x:v>
      </x:c>
      <x:c r="J22" s="14" t="str">
        <x:v>131.062×27.933×877（低端777）</x:v>
      </x:c>
      <x:c r="K22" s="14" t="str">
        <x:v>按成型图、实际板材与折弯机试折反算</x:v>
      </x:c>
      <x:c r="L22" s="14" t="str">
        <x:v>激光切割→包折/卷弯→焊接打磨</x:v>
      </x:c>
      <x:c r="M22" s="14" t="str">
        <x:v>S03A</x:v>
      </x:c>
      <x:c r="N22" s="19" t="n">
        <x:v>14</x:v>
      </x:c>
      <x:c r="O22" s="14" t="str">
        <x:v>成型控制；首件顶口放样</x:v>
      </x:c>
      <x:c r="P22" s="14" t="str">
        <x:v>制造零件数量</x:v>
      </x:c>
      <x:c r="Q22" s="14" t="str">
        <x:v>顾客DWG有效图形 + R01分片</x:v>
      </x:c>
      <x:c r="R22" s="14" t="str">
        <x:v>颜色、光泽、焊缝处理按样板；去毛刺、不得割手</x:v>
      </x:c>
    </x:row>
    <x:row r="23" ht="36" hidden="0" customHeight="1">
      <x:c r="A23" s="13" t="str">
        <x:v>S03B</x:v>
      </x:c>
      <x:c r="B23" s="13" t="str">
        <x:v>刀形腿内端封板</x:v>
      </x:c>
      <x:c r="C23" s="13" t="str">
        <x:v>A07</x:v>
      </x:c>
      <x:c r="D23" s="13" t="str">
        <x:v>钣金</x:v>
      </x:c>
      <x:c r="E23" s="13" t="str">
        <x:v>冷轧钢板</x:v>
      </x:c>
      <x:c r="F23" s="18" t="n">
        <x:v>1.5</x:v>
      </x:c>
      <x:c r="G23" s="18" t="n">
        <x:v>4</x:v>
      </x:c>
      <x:c r="H23" s="28" t="str">
        <x:v>件</x:v>
      </x:c>
      <x:c r="I23" s="18" t="n">
        <x:f>IF(ISBLANK(G23),"",G23*$B$4)</x:f>
        <x:v>4</x:v>
      </x:c>
      <x:c r="J23" s="13" t="str">
        <x:v>24.733×777×1.5</x:v>
      </x:c>
      <x:c r="K23" s="13" t="str">
        <x:v>24.733×777×1.5</x:v>
      </x:c>
      <x:c r="L23" s="13" t="str">
        <x:v>激光切割→焊接→打磨</x:v>
      </x:c>
      <x:c r="M23" s="13" t="str">
        <x:v>S03BC</x:v>
      </x:c>
      <x:c r="N23" s="20" t="n">
        <x:v>15</x:v>
      </x:c>
      <x:c r="O23" s="13" t="str">
        <x:v>成型控制；展开补偿按设备首件</x:v>
      </x:c>
      <x:c r="P23" s="13" t="str">
        <x:v>制造零件数量</x:v>
      </x:c>
      <x:c r="Q23" s="13" t="str">
        <x:v>顾客DWG有效图形 + R01分片</x:v>
      </x:c>
      <x:c r="R23" s="13" t="str">
        <x:v>颜色、光泽、焊缝处理按样板；去毛刺、不得割手</x:v>
      </x:c>
    </x:row>
    <x:row r="24" ht="36" hidden="0" customHeight="1">
      <x:c r="A24" s="14" t="str">
        <x:v>S03C</x:v>
      </x:c>
      <x:c r="B24" s="14" t="str">
        <x:v>刀形腿底封板</x:v>
      </x:c>
      <x:c r="C24" s="14" t="str">
        <x:v>A07</x:v>
      </x:c>
      <x:c r="D24" s="14" t="str">
        <x:v>钣金</x:v>
      </x:c>
      <x:c r="E24" s="14" t="str">
        <x:v>冷轧钢板</x:v>
      </x:c>
      <x:c r="F24" s="17" t="n">
        <x:v>1.5</x:v>
      </x:c>
      <x:c r="G24" s="17" t="n">
        <x:v>4</x:v>
      </x:c>
      <x:c r="H24" s="27" t="str">
        <x:v>件</x:v>
      </x:c>
      <x:c r="I24" s="17" t="n">
        <x:f>IF(ISBLANK(G24),"",G24*$B$4)</x:f>
        <x:v>4</x:v>
      </x:c>
      <x:c r="J24" s="14" t="str">
        <x:v>随壳内轮廓配切；外包≤128.1×24.9</x:v>
      </x:c>
      <x:c r="K24" s="14" t="str">
        <x:v>沿S03A成型内轮廓留0.2间隙</x:v>
      </x:c>
      <x:c r="L24" s="14" t="str">
        <x:v>内轮廓套样→切孔→焊母→焊接</x:v>
      </x:c>
      <x:c r="M24" s="14" t="str">
        <x:v>S03BC</x:v>
      </x:c>
      <x:c r="N24" s="19" t="n">
        <x:v>15</x:v>
      </x:c>
      <x:c r="O24" s="14" t="str">
        <x:v>配切件；按首件成型内腔</x:v>
      </x:c>
      <x:c r="P24" s="14" t="str">
        <x:v>制造零件数量</x:v>
      </x:c>
      <x:c r="Q24" s="14" t="str">
        <x:v>顾客DWG有效图形 + R01分片</x:v>
      </x:c>
      <x:c r="R24" s="14" t="str">
        <x:v>颜色、光泽、焊缝处理按样板；去毛刺、不得割手</x:v>
      </x:c>
    </x:row>
    <x:row r="25" ht="36" hidden="0" customHeight="1">
      <x:c r="A25" s="13" t="str">
        <x:v>S04</x:v>
      </x:c>
      <x:c r="B25" s="13" t="str">
        <x:v>桌肚四边折边底盘</x:v>
      </x:c>
      <x:c r="C25" s="13" t="str">
        <x:v>A04</x:v>
      </x:c>
      <x:c r="D25" s="13" t="str">
        <x:v>钣金</x:v>
      </x:c>
      <x:c r="E25" s="13" t="str">
        <x:v>冷轧钢板</x:v>
      </x:c>
      <x:c r="F25" s="18" t="n">
        <x:v>1</x:v>
      </x:c>
      <x:c r="G25" s="18" t="n">
        <x:v>1</x:v>
      </x:c>
      <x:c r="H25" s="28" t="str">
        <x:v>件</x:v>
      </x:c>
      <x:c r="I25" s="18" t="n">
        <x:f>IF(ISBLANK(G25),"",G25*$B$4)</x:f>
        <x:v>1</x:v>
      </x:c>
      <x:c r="J25" s="13" t="str">
        <x:v>1769.4×969.4×15</x:v>
      </x:c>
      <x:c r="K25" s="13" t="str">
        <x:v>按成型图、实际板材与折弯机试折反算</x:v>
      </x:c>
      <x:c r="L25" s="13" t="str">
        <x:v>切割→四边折弯→焊接</x:v>
      </x:c>
      <x:c r="M25" s="13" t="str">
        <x:v>S04</x:v>
      </x:c>
      <x:c r="N25" s="20" t="n">
        <x:v>16</x:v>
      </x:c>
      <x:c r="O25" s="13" t="str">
        <x:v>R01接口闭合；展开按实际折弯补偿</x:v>
      </x:c>
      <x:c r="P25" s="13" t="str">
        <x:v>制造零件数量</x:v>
      </x:c>
      <x:c r="Q25" s="13" t="str">
        <x:v>顾客DWG有效图形 + R01分片</x:v>
      </x:c>
      <x:c r="R25" s="13" t="str">
        <x:v>颜色、光泽、焊缝处理按样板；去毛刺、不得割手</x:v>
      </x:c>
    </x:row>
    <x:row r="26" ht="36" hidden="0" customHeight="1">
      <x:c r="A26" s="14" t="str">
        <x:v>S07</x:v>
      </x:c>
      <x:c r="B26" s="14" t="str">
        <x:v>桌肚检修门</x:v>
      </x:c>
      <x:c r="C26" s="14" t="str">
        <x:v>A04</x:v>
      </x:c>
      <x:c r="D26" s="14" t="str">
        <x:v>钣金</x:v>
      </x:c>
      <x:c r="E26" s="14" t="str">
        <x:v>冷轧钢板</x:v>
      </x:c>
      <x:c r="F26" s="17" t="n">
        <x:v>1.5</x:v>
      </x:c>
      <x:c r="G26" s="17" t="n">
        <x:v>2</x:v>
      </x:c>
      <x:c r="H26" s="27" t="str">
        <x:v>件</x:v>
      </x:c>
      <x:c r="I26" s="17" t="n">
        <x:f>IF(ISBLANK(G26),"",G26*$B$4)</x:f>
        <x:v>2</x:v>
      </x:c>
      <x:c r="J26" s="14" t="str">
        <x:v>994.8×154.8×10</x:v>
      </x:c>
      <x:c r="K26" s="14" t="str">
        <x:v>按成型图、实际板材与折弯机试折反算</x:v>
      </x:c>
      <x:c r="L26" s="14" t="str">
        <x:v>切割→折弯→模板配孔→装五金</x:v>
      </x:c>
      <x:c r="M26" s="14" t="str">
        <x:v>S07</x:v>
      </x:c>
      <x:c r="N26" s="19" t="n">
        <x:v>17</x:v>
      </x:c>
      <x:c r="O26" s="14" t="str">
        <x:v>成型已定；五金孔形按到货件配钻</x:v>
      </x:c>
      <x:c r="P26" s="14" t="str">
        <x:v>制造零件数量</x:v>
      </x:c>
      <x:c r="Q26" s="14" t="str">
        <x:v>顾客DWG有效图形 + R01分片</x:v>
      </x:c>
      <x:c r="R26" s="14" t="str">
        <x:v>颜色、光泽、焊缝处理按样板；去毛刺、不得割手</x:v>
      </x:c>
    </x:row>
    <x:row r="27" ht="36" hidden="0" customHeight="1">
      <x:c r="A27" s="13" t="str">
        <x:v>S05</x:v>
      </x:c>
      <x:c r="B27" s="13" t="str">
        <x:v>长向C型加强筋</x:v>
      </x:c>
      <x:c r="C27" s="13" t="str">
        <x:v>A04</x:v>
      </x:c>
      <x:c r="D27" s="13" t="str">
        <x:v>钣金制造件</x:v>
      </x:c>
      <x:c r="E27" s="13" t="str">
        <x:v>冷轧钢板</x:v>
      </x:c>
      <x:c r="F27" s="18" t="n">
        <x:v>2</x:v>
      </x:c>
      <x:c r="G27" s="18" t="n">
        <x:v>2</x:v>
      </x:c>
      <x:c r="H27" s="28" t="str">
        <x:v>件</x:v>
      </x:c>
      <x:c r="I27" s="18" t="n">
        <x:f>IF(ISBLANK(G27),"",G27*$B$4)</x:f>
        <x:v>2</x:v>
      </x:c>
      <x:c r="J27" s="13" t="str">
        <x:v>最大投影1943×30×97；上边1915.4；下边1767</x:v>
      </x:c>
      <x:c r="K27" s="13" t="str"/>
      <x:c r="L27" s="13" t="str">
        <x:v>T2折弯成C；两端阶梯与斜切避让；装配焊接；表面处理随金属总成</x:v>
      </x:c>
      <x:c r="M27" s="13" t="str">
        <x:v>S05</x:v>
      </x:c>
      <x:c r="N27" s="20" t="n">
        <x:v>18</x:v>
      </x:c>
      <x:c r="O27" s="13" t="str">
        <x:v>成型已绘；工艺试制待核</x:v>
      </x:c>
      <x:c r="P27" s="13" t="str">
        <x:v>制造零件数量</x:v>
      </x:c>
      <x:c r="Q27" s="13" t="str">
        <x:v>源BV-BV 0x7EC7..0x7EF2；D节点0x84A2..0x84D5；R01包络与筋距统一</x:v>
      </x:c>
      <x:c r="R27" s="13" t="str">
        <x:v>每桌2根；唇边13，C口相向；净430/外跨490。端接口、折弯补偿与焊接收缩未放行。</x:v>
      </x:c>
    </x:row>
    <x:row r="28" ht="36" hidden="0" customHeight="1">
      <x:c r="A28" s="14" t="str">
        <x:v>S06</x:v>
      </x:c>
      <x:c r="B28" s="14" t="str">
        <x:v>U型卡槽</x:v>
      </x:c>
      <x:c r="C28" s="14" t="str">
        <x:v>A04</x:v>
      </x:c>
      <x:c r="D28" s="14" t="str">
        <x:v>钣金制造件</x:v>
      </x:c>
      <x:c r="E28" s="14" t="str">
        <x:v>冷轧钢板</x:v>
      </x:c>
      <x:c r="F28" s="17" t="n">
        <x:v>1</x:v>
      </x:c>
      <x:c r="G28" s="17" t="n">
        <x:v>2</x:v>
      </x:c>
      <x:c r="H28" s="27" t="str">
        <x:v>件</x:v>
      </x:c>
      <x:c r="I28" s="17" t="n">
        <x:f>IF(ISBLANK(G28),"",G28*$B$4)</x:f>
        <x:v>2</x:v>
      </x:c>
      <x:c r="J28" s="14" t="str">
        <x:v>100长×25底宽×20高；喉口18</x:v>
      </x:c>
      <x:c r="K28" s="14" t="str"/>
      <x:c r="L28" s="14" t="str">
        <x:v>T1折弯；口沿外翻；与底板焊接；表面处理随金属总成</x:v>
      </x:c>
      <x:c r="M28" s="14" t="str">
        <x:v>S06</x:v>
      </x:c>
      <x:c r="N28" s="19" t="n">
        <x:v>19</x:v>
      </x:c>
      <x:c r="O28" s="14" t="str">
        <x:v>成型已绘；工艺试制待核</x:v>
      </x:c>
      <x:c r="P28" s="14" t="str">
        <x:v>制造零件数量</x:v>
      </x:c>
      <x:c r="Q28" s="14" t="str">
        <x:v>源U型卡槽0xD353..0xD35F及18/20/25/100标注；R01按T1归整</x:v>
      </x:c>
      <x:c r="R28" s="14" t="str">
        <x:v>底宽不含外翻唇；中心(315.5,595)/(1674.5,595)，相距1359；先试卡，展开补偿待核。</x:v>
      </x:c>
    </x:row>
    <x:row r="29" ht="36" hidden="0" customHeight="1">
      <x:c r="A29" s="13" t="str">
        <x:v>A06</x:v>
      </x:c>
      <x:c r="B29" s="13" t="str">
        <x:v>小孔过线护口组件</x:v>
      </x:c>
      <x:c r="C29" s="13" t="str">
        <x:v>A03</x:v>
      </x:c>
      <x:c r="D29" s="13" t="str">
        <x:v>装配</x:v>
      </x:c>
      <x:c r="E29" s="13" t="str">
        <x:v>M01+M02+M03</x:v>
      </x:c>
      <x:c r="F29" s="18" t="str">
        <x:v>—</x:v>
      </x:c>
      <x:c r="G29" s="18" t="n">
        <x:v>1</x:v>
      </x:c>
      <x:c r="H29" s="28" t="str">
        <x:v>套</x:v>
      </x:c>
      <x:c r="I29" s="18" t="n">
        <x:f>IF(ISBLANK(G29),"",G29*$B$4)</x:f>
        <x:v>1</x:v>
      </x:c>
      <x:c r="J29" s="13" t="str">
        <x:v>封盖单元φ11.9×18.2；20孔/桌</x:v>
      </x:c>
      <x:c r="K29" s="13" t="str">
        <x:v>不单独领料</x:v>
      </x:c>
      <x:c r="L29" s="13" t="str">
        <x:v>配套车工、胶接装配</x:v>
      </x:c>
      <x:c r="M29" s="13" t="str">
        <x:v>A06</x:v>
      </x:c>
      <x:c r="N29" s="20" t="n">
        <x:v>20</x:v>
      </x:c>
      <x:c r="O29" s="13" t="str">
        <x:v>装配关系完成</x:v>
      </x:c>
      <x:c r="P29" s="13" t="str">
        <x:v>装配数量；材料按子件领用</x:v>
      </x:c>
      <x:c r="Q29" s="13" t="str">
        <x:v>SRC-05：0x6389..0x6390、0x63d9..0x63e4、0xca02；桌面20孔/源内盖10件</x:v>
      </x:c>
      <x:c r="R29" s="13" t="str">
        <x:v>装配行仅统计覆盖；材料数量计入M01/M02/M03</x:v>
      </x:c>
    </x:row>
    <x:row r="30" ht="36" hidden="0" customHeight="1">
      <x:c r="A30" s="14" t="str">
        <x:v>M01</x:v>
      </x:c>
      <x:c r="B30" s="14" t="str">
        <x:v>304过线外护套</x:v>
      </x:c>
      <x:c r="C30" s="14" t="str">
        <x:v>A06</x:v>
      </x:c>
      <x:c r="D30" s="14" t="str">
        <x:v>机加工</x:v>
      </x:c>
      <x:c r="E30" s="14" t="str">
        <x:v>304不锈钢棒</x:v>
      </x:c>
      <x:c r="F30" s="17" t="str">
        <x:v>—</x:v>
      </x:c>
      <x:c r="G30" s="17" t="n">
        <x:v>20</x:v>
      </x:c>
      <x:c r="H30" s="27" t="str">
        <x:v>件</x:v>
      </x:c>
      <x:c r="I30" s="17" t="n">
        <x:f>IF(ISBLANK(G30),"",G30*$B$4)</x:f>
        <x:v>20</x:v>
      </x:c>
      <x:c r="J30" s="14" t="str">
        <x:v>φ11.9×18.2；体φ10.9；孔φ8.8/φ9.9</x:v>
      </x:c>
      <x:c r="K30" s="14" t="str">
        <x:v>车工棒料，工艺余量自定</x:v>
      </x:c>
      <x:c r="L30" s="14" t="str">
        <x:v>车削+成型口缘+去毛刺+样板饰面</x:v>
      </x:c>
      <x:c r="M30" s="14" t="str">
        <x:v>M01</x:v>
      </x:c>
      <x:c r="N30" s="19" t="n">
        <x:v>21</x:v>
      </x:c>
      <x:c r="O30" s="14" t="str">
        <x:v>完成</x:v>
      </x:c>
      <x:c r="P30" s="14" t="str">
        <x:v>制造零件数量</x:v>
      </x:c>
      <x:c r="Q30" s="14" t="str">
        <x:v>SRC-05：0x638d..0x6390、0x63dc..0x63e2；口缘0x63c3..0x63c6，CX倍率归一</x:v>
      </x:c>
      <x:c r="R30" s="14" t="str">
        <x:v>源G01；下外R0.3、内R0.15；配合公差参照样板</x:v>
      </x:c>
    </x:row>
    <x:row r="31" ht="36" hidden="0" customHeight="1">
      <x:c r="A31" s="13" t="str">
        <x:v>M02</x:v>
      </x:c>
      <x:c r="B31" s="13" t="str">
        <x:v>304过线内盖</x:v>
      </x:c>
      <x:c r="C31" s="13" t="str">
        <x:v>A06</x:v>
      </x:c>
      <x:c r="D31" s="13" t="str">
        <x:v>机加工</x:v>
      </x:c>
      <x:c r="E31" s="13" t="str">
        <x:v>304不锈钢棒</x:v>
      </x:c>
      <x:c r="F31" s="18" t="str">
        <x:v>顶壁0.9</x:v>
      </x:c>
      <x:c r="G31" s="18" t="n">
        <x:v>10</x:v>
      </x:c>
      <x:c r="H31" s="28" t="str">
        <x:v>件</x:v>
      </x:c>
      <x:c r="I31" s="18" t="n">
        <x:f>IF(ISBLANK(G31),"",G31*$B$4)</x:f>
        <x:v>10</x:v>
      </x:c>
      <x:c r="J31" s="13" t="str">
        <x:v>头φ9.84/身φ8.65×10；盲孔φ6.5×9.1</x:v>
      </x:c>
      <x:c r="K31" s="13" t="str">
        <x:v>车工棒料，工艺余量自定</x:v>
      </x:c>
      <x:c r="L31" s="13" t="str">
        <x:v>车削+去毛刺+镭射面按样板</x:v>
      </x:c>
      <x:c r="M31" s="13" t="str">
        <x:v>M02</x:v>
      </x:c>
      <x:c r="N31" s="20" t="n">
        <x:v>22</x:v>
      </x:c>
      <x:c r="O31" s="13" t="str">
        <x:v>完成</x:v>
      </x:c>
      <x:c r="P31" s="13" t="str">
        <x:v>制造零件数量</x:v>
      </x:c>
      <x:c r="Q31" s="13" t="str">
        <x:v>SRC-05：0x6389..0x638b、0x63d9..0x63db、0x63e3/0x63e4、0xca04/0xca06</x:v>
      </x:c>
      <x:c r="R31" s="13" t="str">
        <x:v>源G02；顶面光滑无刀痕；与M01成套适配</x:v>
      </x:c>
    </x:row>
    <x:row r="32" ht="36" hidden="0" customHeight="1">
      <x:c r="A32" s="14" t="str">
        <x:v>M03</x:v>
      </x:c>
      <x:c r="B32" s="14" t="str">
        <x:v>内盖镀锌内贴片</x:v>
      </x:c>
      <x:c r="C32" s="14" t="str">
        <x:v>A06</x:v>
      </x:c>
      <x:c r="D32" s="14" t="str">
        <x:v>金属平板</x:v>
      </x:c>
      <x:c r="E32" s="14" t="str">
        <x:v>镀锌钢板</x:v>
      </x:c>
      <x:c r="F32" s="17" t="n">
        <x:v>3</x:v>
      </x:c>
      <x:c r="G32" s="17" t="n">
        <x:v>10</x:v>
      </x:c>
      <x:c r="H32" s="27" t="str">
        <x:v>件</x:v>
      </x:c>
      <x:c r="I32" s="17" t="n">
        <x:f>IF(ISBLANK(G32),"",G32*$B$4)</x:f>
        <x:v>10</x:v>
      </x:c>
      <x:c r="J32" s="14" t="str">
        <x:v>φ6×3</x:v>
      </x:c>
      <x:c r="K32" s="14" t="str">
        <x:v>φ6×T3圆片</x:v>
      </x:c>
      <x:c r="L32" s="14" t="str">
        <x:v>圆片下料+去毛刺+胶接</x:v>
      </x:c>
      <x:c r="M32" s="14" t="str">
        <x:v>M03</x:v>
      </x:c>
      <x:c r="N32" s="19" t="n">
        <x:v>23</x:v>
      </x:c>
      <x:c r="O32" s="14" t="str">
        <x:v>完成</x:v>
      </x:c>
      <x:c r="P32" s="14" t="str">
        <x:v>制造零件数量</x:v>
      </x:c>
      <x:c r="Q32" s="14" t="str">
        <x:v>SRC-05：0xca02 原注“内粘φ6*3厚镀锌板”；内盖10件</x:v>
      </x:c>
      <x:c r="R32" s="14" t="str">
        <x:v>源G03；每M02一片，共10片，居中贴于盲孔顶壁</x:v>
      </x:c>
    </x:row>
    <x:row r="33" ht="36" hidden="0" customHeight="1">
      <x:c r="A33" s="13" t="str">
        <x:v>E01</x:v>
      </x:c>
      <x:c r="B33" s="13" t="str">
        <x:v>桌面三位五孔+3USB排插</x:v>
      </x:c>
      <x:c r="C33" s="13" t="str">
        <x:v>A03</x:v>
      </x:c>
      <x:c r="D33" s="13" t="str">
        <x:v>电气采购</x:v>
      </x:c>
      <x:c r="E33" s="13" t="str">
        <x:v>定型采购</x:v>
      </x:c>
      <x:c r="F33" s="18"/>
      <x:c r="G33" s="18" t="n">
        <x:v>2</x:v>
      </x:c>
      <x:c r="H33" s="28" t="str">
        <x:v>个</x:v>
      </x:c>
      <x:c r="I33" s="18" t="n">
        <x:f>IF(ISBLANK(G33),"",G33*$B$4)</x:f>
        <x:v>2</x:v>
      </x:c>
      <x:c r="J33" s="13" t="str">
        <x:v>3位五孔+3USB；每翻盖组1个</x:v>
      </x:c>
      <x:c r="K33" s="13" t="str">
        <x:v>定型采购；按样板与安装接口选配</x:v>
      </x:c>
      <x:c r="L33" s="13" t="str">
        <x:v>按样板选型、盒内固定</x:v>
      </x:c>
      <x:c r="M33" s="13" t="str">
        <x:v>E01</x:v>
      </x:c>
      <x:c r="N33" s="20" t="n">
        <x:v>24</x:v>
      </x:c>
      <x:c r="O33" s="13" t="str">
        <x:v>规格数量已定；型号/安装孔按到货模板</x:v>
      </x:c>
      <x:c r="P33" s="13" t="str">
        <x:v>采购数量</x:v>
      </x:c>
      <x:c r="Q33" s="13" t="str">
        <x:v>顾客DWG现行电气/五金原注；R01翻盖2组、检修门2件、前左腿出线</x:v>
      </x:c>
      <x:c r="R33" s="13" t="str">
        <x:v>核对300×200盒内净空、翻盖运动及孔位；不预设电流/功率</x:v>
      </x:c>
    </x:row>
    <x:row r="34" ht="36" hidden="0" customHeight="1">
      <x:c r="A34" s="14" t="str">
        <x:v>E02</x:v>
      </x:c>
      <x:c r="B34" s="14" t="str">
        <x:v>桌肚八位五孔排插</x:v>
      </x:c>
      <x:c r="C34" s="14" t="str">
        <x:v>A04</x:v>
      </x:c>
      <x:c r="D34" s="14" t="str">
        <x:v>电气采购</x:v>
      </x:c>
      <x:c r="E34" s="14" t="str">
        <x:v>定型采购</x:v>
      </x:c>
      <x:c r="F34" s="17"/>
      <x:c r="G34" s="17" t="n">
        <x:v>2</x:v>
      </x:c>
      <x:c r="H34" s="27" t="str">
        <x:v>个</x:v>
      </x:c>
      <x:c r="I34" s="17" t="n">
        <x:f>IF(ISBLANK(G34),"",G34*$B$4)</x:f>
        <x:v>2</x:v>
      </x:c>
      <x:c r="J34" s="14" t="str">
        <x:v>8位五孔；每检修门1个</x:v>
      </x:c>
      <x:c r="K34" s="14" t="str">
        <x:v>定型采购；按样板与安装接口选配</x:v>
      </x:c>
      <x:c r="L34" s="14" t="str">
        <x:v>粘装固定器、随门开启</x:v>
      </x:c>
      <x:c r="M34" s="14" t="str">
        <x:v>E01</x:v>
      </x:c>
      <x:c r="N34" s="19" t="n">
        <x:v>24</x:v>
      </x:c>
      <x:c r="O34" s="14" t="str">
        <x:v>规格数量已定；型号/安装孔按到货模板</x:v>
      </x:c>
      <x:c r="P34" s="14" t="str">
        <x:v>采购数量</x:v>
      </x:c>
      <x:c r="Q34" s="14" t="str">
        <x:v>顾客DWG现行电气/五金原注；R01翻盖2组、检修门2件、前左腿出线</x:v>
      </x:c>
      <x:c r="R34" s="14" t="str">
        <x:v>配H05固定器；活动线缆留余量，避让锁舌和铰链</x:v>
      </x:c>
    </x:row>
    <x:row r="35" ht="36" hidden="0" customHeight="1">
      <x:c r="A35" s="13" t="str">
        <x:v>E03</x:v>
      </x:c>
      <x:c r="B35" s="13" t="str">
        <x:v>明装安全五孔插座</x:v>
      </x:c>
      <x:c r="C35" s="13" t="str">
        <x:v>A04</x:v>
      </x:c>
      <x:c r="D35" s="13" t="str">
        <x:v>电气采购</x:v>
      </x:c>
      <x:c r="E35" s="13" t="str">
        <x:v>定型采购</x:v>
      </x:c>
      <x:c r="F35" s="18"/>
      <x:c r="G35" s="18" t="n">
        <x:v>1</x:v>
      </x:c>
      <x:c r="H35" s="28" t="str">
        <x:v>个</x:v>
      </x:c>
      <x:c r="I35" s="18" t="n">
        <x:f>IF(ISBLANK(G35),"",G35*$B$4)</x:f>
        <x:v>1</x:v>
      </x:c>
      <x:c r="J35" s="13" t="str">
        <x:v>五孔安全型；桌肚明装</x:v>
      </x:c>
      <x:c r="K35" s="13" t="str">
        <x:v>定型采购；按样板与安装接口选配</x:v>
      </x:c>
      <x:c r="L35" s="13" t="str">
        <x:v>按到货模板固定</x:v>
      </x:c>
      <x:c r="M35" s="13" t="str">
        <x:v>E01</x:v>
      </x:c>
      <x:c r="N35" s="20" t="n">
        <x:v>24</x:v>
      </x:c>
      <x:c r="O35" s="13" t="str">
        <x:v>规格数量已定；型号/安装孔按到货模板</x:v>
      </x:c>
      <x:c r="P35" s="13" t="str">
        <x:v>采购数量</x:v>
      </x:c>
      <x:c r="Q35" s="13" t="str">
        <x:v>顾客DWG现行电气/五金原注；R01翻盖2组、检修门2件、前左腿出线</x:v>
      </x:c>
      <x:c r="R35" s="13" t="str">
        <x:v>R01安装区X280/Y450；设备外廓和固定孔按选型</x:v>
      </x:c>
    </x:row>
    <x:row r="36" ht="36" hidden="0" customHeight="1">
      <x:c r="A36" s="14" t="str">
        <x:v>E04</x:v>
      </x:c>
      <x:c r="B36" s="14" t="str">
        <x:v>3芯电源线束</x:v>
      </x:c>
      <x:c r="C36" s="14" t="str">
        <x:v>A01</x:v>
      </x:c>
      <x:c r="D36" s="14" t="str">
        <x:v>电气辅材</x:v>
      </x:c>
      <x:c r="E36" s="14" t="str">
        <x:v>定型采购</x:v>
      </x:c>
      <x:c r="F36" s="17"/>
      <x:c r="G36" s="17"/>
      <x:c r="H36" s="27" t="str">
        <x:v>m</x:v>
      </x:c>
      <x:c r="I36" s="17" t="str">
        <x:f>IF(ISBLANK(G36),"",G36*$B$4)</x:f>
      </x:c>
      <x:c r="J36" s="14" t="str">
        <x:v>3×1.5mm²；3C认证电源</x:v>
      </x:c>
      <x:c r="K36" s="14" t="str">
        <x:v>定型采购；按样板与安装接口选配</x:v>
      </x:c>
      <x:c r="L36" s="14" t="str">
        <x:v>按实测配长、涮锡、端子连接</x:v>
      </x:c>
      <x:c r="M36" s="14" t="str">
        <x:v>E01</x:v>
      </x:c>
      <x:c r="N36" s="19" t="n">
        <x:v>24</x:v>
      </x:c>
      <x:c r="O36" s="14" t="str">
        <x:v>长度按实配，未填估算值</x:v>
      </x:c>
      <x:c r="P36" s="14" t="str">
        <x:v>采购数量</x:v>
      </x:c>
      <x:c r="Q36" s="14" t="str">
        <x:v>顾客DWG现行电气/五金原注；R01翻盖2组、检修门2件、前左腿出线</x:v>
      </x:c>
      <x:c r="R36" s="14" t="str">
        <x:v>长度按实配且不填0；前左腿出线，活动段留检修余量</x:v>
      </x:c>
    </x:row>
    <x:row r="37" ht="36" hidden="0" customHeight="1">
      <x:c r="A37" s="13" t="str">
        <x:v>E05</x:v>
      </x:c>
      <x:c r="B37" s="13" t="str">
        <x:v>桌肚过线保护铁管</x:v>
      </x:c>
      <x:c r="C37" s="13" t="str">
        <x:v>A04</x:v>
      </x:c>
      <x:c r="D37" s="13" t="str">
        <x:v>电气辅材</x:v>
      </x:c>
      <x:c r="E37" s="13" t="str">
        <x:v>铁管</x:v>
      </x:c>
      <x:c r="F37" s="18"/>
      <x:c r="G37" s="18"/>
      <x:c r="H37" s="28" t="str">
        <x:v>m</x:v>
      </x:c>
      <x:c r="I37" s="18" t="str">
        <x:f>IF(ISBLANK(G37),"",G37*$B$4)</x:f>
      </x:c>
      <x:c r="J37" s="13" t="str">
        <x:v>源要求≥25；本版止于腿上口</x:v>
      </x:c>
      <x:c r="K37" s="13" t="str">
        <x:v>定型采购；按样板与安装接口选配</x:v>
      </x:c>
      <x:c r="L37" s="13" t="str">
        <x:v>桌肚内护线、管端保护</x:v>
      </x:c>
      <x:c r="M37" s="13" t="str">
        <x:v>E01</x:v>
      </x:c>
      <x:c r="N37" s="20" t="n">
        <x:v>24</x:v>
      </x:c>
      <x:c r="O37" s="13" t="str">
        <x:v>长度按实配，未填估算值</x:v>
      </x:c>
      <x:c r="P37" s="13" t="str">
        <x:v>采购数量</x:v>
      </x:c>
      <x:c r="Q37" s="13" t="str">
        <x:v>顾客DWG现行电气/五金原注；R01翻盖2组、检修门2件、前左腿出线</x:v>
      </x:c>
      <x:c r="R37" s="13" t="str">
        <x:v>R01调整：净约24.7刀形腔及34×14底孔不能容纳≥25管，腿内改线缆加绝缘/夹持，首件核实</x:v>
      </x:c>
    </x:row>
    <x:row r="38" ht="36" hidden="0" customHeight="1">
      <x:c r="A38" s="14" t="str">
        <x:v>E06</x:v>
      </x:c>
      <x:c r="B38" s="14" t="str">
        <x:v>接线端子与黄腊管配套</x:v>
      </x:c>
      <x:c r="C38" s="14" t="str">
        <x:v>A01</x:v>
      </x:c>
      <x:c r="D38" s="14" t="str">
        <x:v>电气辅材</x:v>
      </x:c>
      <x:c r="E38" s="14" t="str">
        <x:v>定型采购</x:v>
      </x:c>
      <x:c r="F38" s="17"/>
      <x:c r="G38" s="17" t="n">
        <x:v>1</x:v>
      </x:c>
      <x:c r="H38" s="27" t="str">
        <x:v>套</x:v>
      </x:c>
      <x:c r="I38" s="17" t="n">
        <x:f>IF(ISBLANK(G38),"",G38*$B$4)</x:f>
        <x:v>1</x:v>
      </x:c>
      <x:c r="J38" s="14" t="str">
        <x:v>匹配3×1.5mm²导线；端子/黄腊管按连接点实配</x:v>
      </x:c>
      <x:c r="K38" s="14" t="str">
        <x:v>定型采购；按样板与安装接口选配</x:v>
      </x:c>
      <x:c r="L38" s="14" t="str">
        <x:v>接线、绝缘保护、落地端限位</x:v>
      </x:c>
      <x:c r="M38" s="14" t="str">
        <x:v>E01</x:v>
      </x:c>
      <x:c r="N38" s="19" t="n">
        <x:v>24</x:v>
      </x:c>
      <x:c r="O38" s="14" t="str">
        <x:v>规格数量已定；型号/安装孔按到货模板</x:v>
      </x:c>
      <x:c r="P38" s="14" t="str">
        <x:v>采购数量</x:v>
      </x:c>
      <x:c r="Q38" s="14" t="str">
        <x:v>顾客DWG现行电气/五金原注；R01翻盖2组、检修门2件、前左腿出线</x:v>
      </x:c>
      <x:c r="R38" s="14" t="str">
        <x:v>不得裸接；数量按系统连接点配齐，辅材长度按实配</x:v>
      </x:c>
    </x:row>
    <x:row r="39" ht="36" hidden="0" customHeight="1">
      <x:c r="A39" s="13" t="str">
        <x:v>H01</x:v>
      </x:c>
      <x:c r="B39" s="13" t="str">
        <x:v>M8黑色橡胶调节脚</x:v>
      </x:c>
      <x:c r="C39" s="13" t="str">
        <x:v>A07</x:v>
      </x:c>
      <x:c r="D39" s="13" t="str">
        <x:v>外购五金</x:v>
      </x:c>
      <x:c r="E39" s="13" t="str">
        <x:v>定型采购</x:v>
      </x:c>
      <x:c r="F39" s="18"/>
      <x:c r="G39" s="18" t="n">
        <x:v>8</x:v>
      </x:c>
      <x:c r="H39" s="28" t="str">
        <x:v>只</x:v>
      </x:c>
      <x:c r="I39" s="18" t="n">
        <x:f>IF(ISBLANK(G39),"",G39*$B$4)</x:f>
        <x:v>8</x:v>
      </x:c>
      <x:c r="J39" s="13" t="str">
        <x:v>M8；外φ18/内φ16；调节≤5</x:v>
      </x:c>
      <x:c r="K39" s="13" t="str">
        <x:v>定型采购；按样板与安装接口选配</x:v>
      </x:c>
      <x:c r="L39" s="13" t="str">
        <x:v>旋入H02焊母</x:v>
      </x:c>
      <x:c r="M39" s="13" t="str">
        <x:v>H01</x:v>
      </x:c>
      <x:c r="N39" s="20" t="n">
        <x:v>25</x:v>
      </x:c>
      <x:c r="O39" s="13" t="str">
        <x:v>规格数量已定；型号/安装孔按到货模板</x:v>
      </x:c>
      <x:c r="P39" s="13" t="str">
        <x:v>采购数量</x:v>
      </x:c>
      <x:c r="Q39" s="13" t="str">
        <x:v>顾客DWG现行电气/五金原注；R01翻盖2组、检修门2件、前左腿出线</x:v>
      </x:c>
      <x:c r="R39" s="13" t="str">
        <x:v>每腿2只，共8；高度验收设外露5，底封板孔见S03BC</x:v>
      </x:c>
    </x:row>
    <x:row r="40" ht="36" hidden="0" customHeight="1">
      <x:c r="A40" s="14" t="str">
        <x:v>H02</x:v>
      </x:c>
      <x:c r="B40" s="14" t="str">
        <x:v>M8焊接螺母</x:v>
      </x:c>
      <x:c r="C40" s="14" t="str">
        <x:v>A07</x:v>
      </x:c>
      <x:c r="D40" s="14" t="str">
        <x:v>外购五金</x:v>
      </x:c>
      <x:c r="E40" s="14" t="str">
        <x:v>定型采购</x:v>
      </x:c>
      <x:c r="F40" s="17"/>
      <x:c r="G40" s="17" t="n">
        <x:v>8</x:v>
      </x:c>
      <x:c r="H40" s="27" t="str">
        <x:v>只</x:v>
      </x:c>
      <x:c r="I40" s="17" t="n">
        <x:f>IF(ISBLANK(G40),"",G40*$B$4)</x:f>
        <x:v>8</x:v>
      </x:c>
      <x:c r="J40" s="14" t="str">
        <x:v>M8；匹配S03C的φ8.5孔</x:v>
      </x:c>
      <x:c r="K40" s="14" t="str">
        <x:v>定型采购；按样板与安装接口选配</x:v>
      </x:c>
      <x:c r="L40" s="14" t="str">
        <x:v>底封板内侧点焊</x:v>
      </x:c>
      <x:c r="M40" s="14" t="str">
        <x:v>H01</x:v>
      </x:c>
      <x:c r="N40" s="19" t="n">
        <x:v>25</x:v>
      </x:c>
      <x:c r="O40" s="14" t="str">
        <x:v>规格数量已定；型号/安装孔按到货模板</x:v>
      </x:c>
      <x:c r="P40" s="14" t="str">
        <x:v>采购数量</x:v>
      </x:c>
      <x:c r="Q40" s="14" t="str">
        <x:v>顾客DWG现行电气/五金原注；R01翻盖2组、检修门2件、前左腿出线</x:v>
      </x:c>
      <x:c r="R40" s="14" t="str">
        <x:v>每腿2只，焊渣不得堵螺纹；和H01先试装</x:v>
      </x:c>
    </x:row>
    <x:row r="41" ht="36" hidden="0" customHeight="1">
      <x:c r="A41" s="13" t="str">
        <x:v>H03</x:v>
      </x:c>
      <x:c r="B41" s="13" t="str">
        <x:v>检修门铰链</x:v>
      </x:c>
      <x:c r="C41" s="13" t="str">
        <x:v>S07</x:v>
      </x:c>
      <x:c r="D41" s="13" t="str">
        <x:v>外购五金</x:v>
      </x:c>
      <x:c r="E41" s="13" t="str">
        <x:v>定型采购</x:v>
      </x:c>
      <x:c r="F41" s="18"/>
      <x:c r="G41" s="18" t="n">
        <x:v>4</x:v>
      </x:c>
      <x:c r="H41" s="28" t="str">
        <x:v>只</x:v>
      </x:c>
      <x:c r="I41" s="18" t="n">
        <x:f>IF(ISBLANK(G41),"",G41*$B$4)</x:f>
        <x:v>4</x:v>
      </x:c>
      <x:c r="J41" s="13" t="str">
        <x:v>每门2只；型号按样板</x:v>
      </x:c>
      <x:c r="K41" s="13" t="str">
        <x:v>定型采购；按样板与安装接口选配</x:v>
      </x:c>
      <x:c r="L41" s="13" t="str">
        <x:v>按到货模板配钻</x:v>
      </x:c>
      <x:c r="M41" s="13" t="str">
        <x:v>H01</x:v>
      </x:c>
      <x:c r="N41" s="20" t="n">
        <x:v>25</x:v>
      </x:c>
      <x:c r="O41" s="13" t="str">
        <x:v>规格数量已定；型号/安装孔按到货模板</x:v>
      </x:c>
      <x:c r="P41" s="13" t="str">
        <x:v>采购数量</x:v>
      </x:c>
      <x:c r="Q41" s="13" t="str">
        <x:v>顾客DWG现行电气/五金原注；R01翻盖2组、检修门2件、前左腿出线</x:v>
      </x:c>
      <x:c r="R41" s="13" t="str">
        <x:v>S07局部u=200/794.8，v=0；不得照符号钻孔</x:v>
      </x:c>
    </x:row>
    <x:row r="42" ht="36" hidden="0" customHeight="1">
      <x:c r="A42" s="14" t="str">
        <x:v>H04</x:v>
      </x:c>
      <x:c r="B42" s="14" t="str">
        <x:v>无钥匙一字旋钮锁</x:v>
      </x:c>
      <x:c r="C42" s="14" t="str">
        <x:v>S07</x:v>
      </x:c>
      <x:c r="D42" s="14" t="str">
        <x:v>外购五金</x:v>
      </x:c>
      <x:c r="E42" s="14" t="str">
        <x:v>定型采购</x:v>
      </x:c>
      <x:c r="F42" s="17"/>
      <x:c r="G42" s="17" t="n">
        <x:v>2</x:v>
      </x:c>
      <x:c r="H42" s="27" t="str">
        <x:v>只</x:v>
      </x:c>
      <x:c r="I42" s="17" t="n">
        <x:f>IF(ISBLANK(G42),"",G42*$B$4)</x:f>
        <x:v>2</x:v>
      </x:c>
      <x:c r="J42" s="14" t="str">
        <x:v>每检修门1只</x:v>
      </x:c>
      <x:c r="K42" s="14" t="str">
        <x:v>定型采购；按样板与安装接口选配</x:v>
      </x:c>
      <x:c r="L42" s="14" t="str">
        <x:v>按到货锁孔模板配钻</x:v>
      </x:c>
      <x:c r="M42" s="14" t="str">
        <x:v>H01</x:v>
      </x:c>
      <x:c r="N42" s="19" t="n">
        <x:v>25</x:v>
      </x:c>
      <x:c r="O42" s="14" t="str">
        <x:v>规格数量已定；型号/安装孔按到货模板</x:v>
      </x:c>
      <x:c r="P42" s="14" t="str">
        <x:v>采购数量</x:v>
      </x:c>
      <x:c r="Q42" s="14" t="str">
        <x:v>顾客DWG现行电气/五金原注；R01翻盖2组、检修门2件、前左腿出线</x:v>
      </x:c>
      <x:c r="R42" s="14" t="str">
        <x:v>S07锁中心u=497.4，v=134.8；核对锁舌行程</x:v>
      </x:c>
    </x:row>
    <x:row r="43" ht="36" hidden="0" customHeight="1">
      <x:c r="A43" s="13" t="str">
        <x:v>H05</x:v>
      </x:c>
      <x:c r="B43" s="13" t="str">
        <x:v>八位排插粘贴固定器</x:v>
      </x:c>
      <x:c r="C43" s="13" t="str">
        <x:v>S07</x:v>
      </x:c>
      <x:c r="D43" s="13" t="str">
        <x:v>外购五金</x:v>
      </x:c>
      <x:c r="E43" s="13" t="str">
        <x:v>定型采购</x:v>
      </x:c>
      <x:c r="F43" s="18"/>
      <x:c r="G43" s="18" t="n">
        <x:v>2</x:v>
      </x:c>
      <x:c r="H43" s="28" t="str">
        <x:v>组</x:v>
      </x:c>
      <x:c r="I43" s="18" t="n">
        <x:f>IF(ISBLANK(G43),"",G43*$B$4)</x:f>
        <x:v>2</x:v>
      </x:c>
      <x:c r="J43" s="13" t="str">
        <x:v>匹配E02；每门1组</x:v>
      </x:c>
      <x:c r="K43" s="13" t="str">
        <x:v>定型采购；按样板与安装接口选配</x:v>
      </x:c>
      <x:c r="L43" s="13" t="str">
        <x:v>门背居中粘贴固定</x:v>
      </x:c>
      <x:c r="M43" s="13" t="str">
        <x:v>H01</x:v>
      </x:c>
      <x:c r="N43" s="20" t="n">
        <x:v>25</x:v>
      </x:c>
      <x:c r="O43" s="13" t="str">
        <x:v>规格数量已定；型号/安装孔按到货模板</x:v>
      </x:c>
      <x:c r="P43" s="13" t="str">
        <x:v>采购数量</x:v>
      </x:c>
      <x:c r="Q43" s="13" t="str">
        <x:v>顾客DWG现行电气/五金原注；R01翻盖2组、检修门2件、前左腿出线</x:v>
      </x:c>
      <x:c r="R43" s="13" t="str">
        <x:v>清洁粘贴面；避开锁舌，先做门启闭和保持力检查</x:v>
      </x:c>
    </x:row>
    <x:row r="44" ht="36" hidden="0" customHeight="1">
      <x:c r="A44" s="14" t="str">
        <x:v>H06</x:v>
      </x:c>
      <x:c r="B44" s="14" t="str">
        <x:v>白色过线护口</x:v>
      </x:c>
      <x:c r="C44" s="14" t="str">
        <x:v>A05</x:v>
      </x:c>
      <x:c r="D44" s="14" t="str">
        <x:v>外购五金</x:v>
      </x:c>
      <x:c r="E44" s="14" t="str">
        <x:v>定型采购</x:v>
      </x:c>
      <x:c r="F44" s="17"/>
      <x:c r="G44" s="17" t="n">
        <x:v>2</x:v>
      </x:c>
      <x:c r="H44" s="27" t="str">
        <x:v>只</x:v>
      </x:c>
      <x:c r="I44" s="17" t="n">
        <x:f>IF(ISBLANK(G44),"",G44*$B$4)</x:f>
        <x:v>2</x:v>
      </x:c>
      <x:c r="J44" s="14" t="str">
        <x:v>安装孔φ50；匹配T15侧板</x:v>
      </x:c>
      <x:c r="K44" s="14" t="str">
        <x:v>定型采购；按样板与安装接口选配</x:v>
      </x:c>
      <x:c r="L44" s="14" t="str">
        <x:v>装于W04A有孔短端板</x:v>
      </x:c>
      <x:c r="M44" s="14" t="str">
        <x:v>H01</x:v>
      </x:c>
      <x:c r="N44" s="19" t="n">
        <x:v>25</x:v>
      </x:c>
      <x:c r="O44" s="14" t="str">
        <x:v>规格数量已定；型号/安装孔按到货模板</x:v>
      </x:c>
      <x:c r="P44" s="14" t="str">
        <x:v>采购数量</x:v>
      </x:c>
      <x:c r="Q44" s="14" t="str">
        <x:v>顾客DWG现行电气/五金原注；R01翻盖2组、检修门2件、前左腿出线</x:v>
      </x:c>
      <x:c r="R44" s="14" t="str">
        <x:v>每盒1处；板面200×91，孔心(100,51)，总成见A05</x:v>
      </x:c>
    </x:row>
    <x:row r="45" ht="36" hidden="0" customHeight="1">
      <x:c r="A45" s="13" t="str">
        <x:v>H07</x:v>
      </x:c>
      <x:c r="B45" s="13" t="str">
        <x:v>翻盖铰接配套件</x:v>
      </x:c>
      <x:c r="C45" s="13" t="str">
        <x:v>A03</x:v>
      </x:c>
      <x:c r="D45" s="13" t="str">
        <x:v>外购五金</x:v>
      </x:c>
      <x:c r="E45" s="13" t="str">
        <x:v>定型采购</x:v>
      </x:c>
      <x:c r="F45" s="18"/>
      <x:c r="G45" s="18" t="n">
        <x:v>4</x:v>
      </x:c>
      <x:c r="H45" s="28" t="str">
        <x:v>套</x:v>
      </x:c>
      <x:c r="I45" s="18" t="n">
        <x:f>IF(ISBLANK(G45),"",G45*$B$4)</x:f>
        <x:v>4</x:v>
      </x:c>
      <x:c r="J45" s="13" t="str">
        <x:v>每片盖1套；型号按样板</x:v>
      </x:c>
      <x:c r="K45" s="13" t="str">
        <x:v>定型采购；按样板与安装接口选配</x:v>
      </x:c>
      <x:c r="L45" s="13" t="str">
        <x:v>按选型配孔、试开合</x:v>
      </x:c>
      <x:c r="M45" s="13" t="str">
        <x:v>H01</x:v>
      </x:c>
      <x:c r="N45" s="20" t="n">
        <x:v>25</x:v>
      </x:c>
      <x:c r="O45" s="13" t="str">
        <x:v>规格数量已定；型号/安装孔按到货模板</x:v>
      </x:c>
      <x:c r="P45" s="13" t="str">
        <x:v>采购数量</x:v>
      </x:c>
      <x:c r="Q45" s="13" t="str">
        <x:v>顾客DWG现行电气/五金原注；R01翻盖2组、检修门2件、前左腿出线</x:v>
      </x:c>
      <x:c r="R45" s="13" t="str">
        <x:v>W02A/W02B各2片；型号和单套组成按样板，不填虚构孔距</x:v>
      </x:c>
    </x:row>
    <x:row r="46" ht="36" hidden="0" customHeight="1">
      <x:c r="A46" s="14" t="str">
        <x:v>H08</x:v>
      </x:c>
      <x:c r="B46" s="14" t="str">
        <x:v>出线护口、限位及夹持件</x:v>
      </x:c>
      <x:c r="C46" s="14" t="str">
        <x:v>A07</x:v>
      </x:c>
      <x:c r="D46" s="14" t="str">
        <x:v>外购五金</x:v>
      </x:c>
      <x:c r="E46" s="14" t="str">
        <x:v>定型采购</x:v>
      </x:c>
      <x:c r="F46" s="17"/>
      <x:c r="G46" s="17" t="n">
        <x:v>1</x:v>
      </x:c>
      <x:c r="H46" s="27" t="str">
        <x:v>套</x:v>
      </x:c>
      <x:c r="I46" s="17" t="n">
        <x:f>IF(ISBLANK(G46),"",G46*$B$4)</x:f>
        <x:v>1</x:v>
      </x:c>
      <x:c r="J46" s="14" t="str">
        <x:v>匹配34×14底部长圆孔与实际线径</x:v>
      </x:c>
      <x:c r="K46" s="14" t="str">
        <x:v>定型采购；按样板与安装接口选配</x:v>
      </x:c>
      <x:c r="L46" s="14" t="str">
        <x:v>前左过线腿装配</x:v>
      </x:c>
      <x:c r="M46" s="14" t="str">
        <x:v>H01</x:v>
      </x:c>
      <x:c r="N46" s="19" t="n">
        <x:v>25</x:v>
      </x:c>
      <x:c r="O46" s="14" t="str">
        <x:v>规格数量已定；型号/安装孔按到货模板</x:v>
      </x:c>
      <x:c r="P46" s="14" t="str">
        <x:v>采购数量</x:v>
      </x:c>
      <x:c r="Q46" s="14" t="str">
        <x:v>顾客DWG现行电气/五金原注；R01翻盖2组、检修门2件、前左腿出线</x:v>
      </x:c>
      <x:c r="R46" s="14" t="str">
        <x:v>R01单腿出线；腿内加绝缘保护，末端线缆单独引出</x:v>
      </x:c>
    </x:row>
    <x:row r="47" ht="36" hidden="0" customHeight="1">
      <x:c r="A47" s="13" t="str">
        <x:v>H09</x:v>
      </x:c>
      <x:c r="B47" s="13" t="str">
        <x:v>桌面木螺钉</x:v>
      </x:c>
      <x:c r="C47" s="13" t="str">
        <x:v>A03</x:v>
      </x:c>
      <x:c r="D47" s="13" t="str">
        <x:v>外购五金</x:v>
      </x:c>
      <x:c r="E47" s="13" t="str">
        <x:v>定型采购</x:v>
      </x:c>
      <x:c r="F47" s="18"/>
      <x:c r="G47" s="18" t="n">
        <x:v>12</x:v>
      </x:c>
      <x:c r="H47" s="28" t="str">
        <x:v>只</x:v>
      </x:c>
      <x:c r="I47" s="18" t="n">
        <x:f>IF(ISBLANK(G47),"",G47*$B$4)</x:f>
        <x:v>12</x:v>
      </x:c>
      <x:c r="J47" s="13" t="str">
        <x:v>φ4×12；配φ4.5金属孔</x:v>
      </x:c>
      <x:c r="K47" s="13" t="str">
        <x:v>定型采购；按样板与安装接口选配</x:v>
      </x:c>
      <x:c r="L47" s="13" t="str">
        <x:v>木板预钻φ2.5深10</x:v>
      </x:c>
      <x:c r="M47" s="13" t="str">
        <x:v>H01</x:v>
      </x:c>
      <x:c r="N47" s="20" t="n">
        <x:v>25</x:v>
      </x:c>
      <x:c r="O47" s="13" t="str">
        <x:v>规格数量已定；型号/安装孔按到货模板</x:v>
      </x:c>
      <x:c r="P47" s="13" t="str">
        <x:v>采购数量</x:v>
      </x:c>
      <x:c r="Q47" s="13" t="str">
        <x:v>顾客DWG现行电气/五金原注；R01翻盖2组、检修门2件、前左腿出线</x:v>
      </x:c>
      <x:c r="R47" s="13" t="str">
        <x:v>长边X400/1000/1600,Y30/1170；短边X30/1970,Y300/600/900</x:v>
      </x:c>
    </x:row>
    <x:row r="48" ht="36" hidden="0" customHeight="1">
      <x:c r="A48" s="14" t="str">
        <x:v>B01</x:v>
      </x:c>
      <x:c r="B48" s="14" t="str">
        <x:v>贯通毛刷组件</x:v>
      </x:c>
      <x:c r="C48" s="14" t="str">
        <x:v>A03</x:v>
      </x:c>
      <x:c r="D48" s="14" t="str">
        <x:v>毛刷配套</x:v>
      </x:c>
      <x:c r="E48" s="14" t="str">
        <x:v>定型采购</x:v>
      </x:c>
      <x:c r="F48" s="17"/>
      <x:c r="G48" s="17" t="n">
        <x:v>1</x:v>
      </x:c>
      <x:c r="H48" s="27" t="str">
        <x:v>组</x:v>
      </x:c>
      <x:c r="I48" s="17" t="n">
        <x:f>IF(ISBLANK(G48),"",G48*$B$4)</x:f>
        <x:v>1</x:v>
      </x:c>
      <x:c r="J48" s="14" t="str">
        <x:v>覆盖总槽1420×20；端R10</x:v>
      </x:c>
      <x:c r="K48" s="14" t="str">
        <x:v>定型采购；按样板与安装接口选配</x:v>
      </x:c>
      <x:c r="L48" s="14" t="str">
        <x:v>按样板型材分段适配</x:v>
      </x:c>
      <x:c r="M48" s="14" t="str">
        <x:v>H01</x:v>
      </x:c>
      <x:c r="N48" s="19" t="n">
        <x:v>25</x:v>
      </x:c>
      <x:c r="O48" s="14" t="str">
        <x:v>规格数量已定；型号/安装孔按到货模板</x:v>
      </x:c>
      <x:c r="P48" s="14" t="str">
        <x:v>采购数量</x:v>
      </x:c>
      <x:c r="Q48" s="14" t="str">
        <x:v>顾客DWG现行电气/五金原注；R01翻盖2组、检修门2件、前左腿出线</x:v>
      </x:c>
      <x:c r="R48" s="14" t="str">
        <x:v>含翻盖区域毛刷，总覆盖长1420不重复领料；刷顶齐台面</x:v>
      </x:c>
    </x:row>
    <x:row r="49" ht="36" hidden="0" customHeight="1">
      <x:c r="A49" s="13" t="str">
        <x:v>B02</x:v>
      </x:c>
      <x:c r="B49" s="13" t="str">
        <x:v>翻盖毛刷挡条及卡件</x:v>
      </x:c>
      <x:c r="C49" s="13" t="str">
        <x:v>A03</x:v>
      </x:c>
      <x:c r="D49" s="13" t="str">
        <x:v>毛刷配套</x:v>
      </x:c>
      <x:c r="E49" s="13" t="str">
        <x:v>定型采购</x:v>
      </x:c>
      <x:c r="F49" s="18"/>
      <x:c r="G49" s="18" t="n">
        <x:v>2</x:v>
      </x:c>
      <x:c r="H49" s="28" t="str">
        <x:v>组</x:v>
      </x:c>
      <x:c r="I49" s="18" t="n">
        <x:f>IF(ISBLANK(G49),"",G49*$B$4)</x:f>
        <x:v>2</x:v>
      </x:c>
      <x:c r="J49" s="13" t="str">
        <x:v>每翻盖组1套；中央净20</x:v>
      </x:c>
      <x:c r="K49" s="13" t="str">
        <x:v>定型采购；按样板与安装接口选配</x:v>
      </x:c>
      <x:c r="L49" s="13" t="str">
        <x:v>配W02A底部28×7让位</x:v>
      </x:c>
      <x:c r="M49" s="13" t="str">
        <x:v>H01</x:v>
      </x:c>
      <x:c r="N49" s="20" t="n">
        <x:v>25</x:v>
      </x:c>
      <x:c r="O49" s="13" t="str">
        <x:v>规格数量已定；型号/安装孔按到货模板</x:v>
      </x:c>
      <x:c r="P49" s="13" t="str">
        <x:v>采购数量</x:v>
      </x:c>
      <x:c r="Q49" s="13" t="str">
        <x:v>顾客DWG现行电气/五金原注；R01翻盖2组、检修门2件、前左腿出线</x:v>
      </x:c>
      <x:c r="R49" s="13" t="str">
        <x:v>型材按样板；毛刷本体计入B01，挡条卡件在此计数</x:v>
      </x:c>
    </x:row>
  </x:sheetData>
  <x:conditionalFormatting sqref="G8:G49">
    <x:cfRule type="containsBlanks" dxfId="0" priority="1"/>
  </x:conditionalFormatting>
  <x:conditionalFormatting sqref="O8:O49">
    <x:cfRule type="containsText" dxfId="1" priority="2" operator="containsText" text="待"/>
  </x:conditionalFormatting>
  <x:dataValidations count="1">
    <x:dataValidation type="whole" operator="greaterThanOrEqual" sqref="B4">
      <x:formula1>1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d1dddb5b3774dad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7" hidden="0" customWidth="1"/>
    <x:col min="2" max="2" width="36" hidden="0" customWidth="1"/>
    <x:col min="3" max="3" width="10" hidden="0" customWidth="1"/>
    <x:col min="4" max="4" width="12" hidden="0" customWidth="1"/>
    <x:col min="5" max="5" width="42" hidden="0" customWidth="1"/>
    <x:col min="6" max="6" width="23" hidden="0" customWidth="1"/>
    <x:col min="7" max="7" width="64" hidden="0" customWidth="1"/>
    <x:col min="8" max="8" width="4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</x:row>
    <x:row r="2" ht="30" customHeight="1">
      <x:c r="A2" s="3" t="str">
        <x:v>图纸目录</x:v>
      </x:c>
      <x:c r="B2" s="2"/>
      <x:c r="C2" s="2"/>
      <x:c r="D2" s="2"/>
      <x:c r="E2" s="2"/>
      <x:c r="F2" s="2"/>
      <x:c r="G2" s="2"/>
      <x:c r="H2" s="2"/>
    </x:row>
    <x:row r="3" ht="30" customHeight="1">
      <x:c r="A3" s="21" t="str">
        <x:v>HW73005-L2000　L2000体验桌　R01　尺寸单位 mm</x:v>
      </x:c>
      <x:c r="B3" s="4"/>
      <x:c r="C3" s="4"/>
      <x:c r="D3" s="4"/>
      <x:c r="E3" s="4"/>
      <x:c r="F3" s="4"/>
      <x:c r="G3" s="4"/>
      <x:c r="H3" s="4"/>
    </x:row>
    <x:row r="4" ht="30" customHeight="1">
      <x:c r="A4" s="2" t="str">
        <x:v>批量（套）</x:v>
      </x:c>
      <x:c r="B4" s="23" t="n">
        <x:f>'零件清单'!$B$4</x:f>
        <x:v>1</x:v>
      </x:c>
      <x:c r="C4" s="2"/>
      <x:c r="D4" s="2" t="str">
        <x:v>版次日期</x:v>
      </x:c>
      <x:c r="E4" s="25" t="n">
        <x:v>46296</x:v>
      </x:c>
      <x:c r="F4" s="2"/>
      <x:c r="G4" s="2"/>
      <x:c r="H4" s="2"/>
    </x:row>
    <x:row r="5" ht="30" customHeight="1">
      <x:c r="A5" s="2" t="str">
        <x:v>PDF 页码指本次交付图纸文件内的页序；零件编号与清单、图号对应。</x:v>
      </x:c>
      <x:c r="B5" s="2"/>
      <x:c r="C5" s="2"/>
      <x:c r="D5" s="2"/>
      <x:c r="E5" s="2"/>
      <x:c r="F5" s="2"/>
      <x:c r="G5" s="2"/>
      <x:c r="H5" s="2"/>
    </x:row>
    <x:row r="6" ht="30" customHeight="1">
      <x:c r="A6" s="2"/>
      <x:c r="B6" s="2"/>
      <x:c r="C6" s="2"/>
      <x:c r="D6" s="2"/>
      <x:c r="E6" s="2"/>
      <x:c r="F6" s="2"/>
      <x:c r="G6" s="2"/>
      <x:c r="H6" s="2"/>
    </x:row>
    <x:row r="7" ht="32" customHeight="1">
      <x:c r="A7" s="9" t="str">
        <x:v>图号</x:v>
      </x:c>
      <x:c r="B7" s="10" t="str">
        <x:v>图纸名称</x:v>
      </x:c>
      <x:c r="C7" s="10" t="str">
        <x:v>PDF 页</x:v>
      </x:c>
      <x:c r="D7" s="10" t="str">
        <x:v>比例</x:v>
      </x:c>
      <x:c r="E7" s="10" t="str">
        <x:v>关联零件 / 总成</x:v>
      </x:c>
      <x:c r="F7" s="10" t="str">
        <x:v>状态</x:v>
      </x:c>
      <x:c r="G7" s="10" t="str">
        <x:v>内容说明</x:v>
      </x:c>
      <x:c r="H7" s="11" t="str">
        <x:v>依据</x:v>
      </x:c>
    </x:row>
    <x:row r="8" ht="36" hidden="0" customHeight="1">
      <x:c r="A8" s="14" t="str">
        <x:v>A01</x:v>
      </x:c>
      <x:c r="B8" s="14" t="str">
        <x:v>整桌总装 · 三视、基准与装配尺寸</x:v>
      </x:c>
      <x:c r="C8" s="19" t="n">
        <x:v>1</x:v>
      </x:c>
      <x:c r="D8" s="14" t="str">
        <x:v>1:10</x:v>
      </x:c>
      <x:c r="E8" s="14" t="str">
        <x:v>A01</x:v>
      </x:c>
      <x:c r="F8" s="14" t="str">
        <x:v>三视已绘</x:v>
      </x:c>
      <x:c r="G8" s="14" t="str">
        <x:v>整桌总装 · 三视、基准与装配尺寸</x:v>
      </x:c>
      <x:c r="H8" s="14" t="str">
        <x:v>顾客DWG SRC-02/03/04 + R01统一尺寸</x:v>
      </x:c>
    </x:row>
    <x:row r="9" ht="36" hidden="0" customHeight="1">
      <x:c r="A9" s="13" t="str">
        <x:v>A02</x:v>
      </x:c>
      <x:c r="B9" s="13" t="str">
        <x:v>总装拆件 · 构件分离轴测与安装层次</x:v>
      </x:c>
      <x:c r="C9" s="20" t="n">
        <x:v>2</x:v>
      </x:c>
      <x:c r="D9" s="13" t="str">
        <x:v>1:10</x:v>
      </x:c>
      <x:c r="E9" s="13" t="str">
        <x:v>W01、W02A、W02B、A05、S01、S02、S04、S05、S07、A07</x:v>
      </x:c>
      <x:c r="F9" s="13" t="str">
        <x:v>真实构件分离轴测；不作加工量测</x:v>
      </x:c>
      <x:c r="G9" s="13" t="str">
        <x:v>总装拆件 · 构件分离轴测与安装层次</x:v>
      </x:c>
      <x:c r="H9" s="13" t="str">
        <x:v>顾客DWG SRC-02/03/04 + R01统一尺寸</x:v>
      </x:c>
    </x:row>
    <x:row r="10" ht="36" hidden="0" customHeight="1">
      <x:c r="A10" s="14" t="str">
        <x:v>A04</x:v>
      </x:c>
      <x:c r="B10" s="14" t="str">
        <x:v>钢结构总成 · 底视布置、三视与焊接</x:v>
      </x:c>
      <x:c r="C10" s="19" t="n">
        <x:v>3</x:v>
      </x:c>
      <x:c r="D10" s="14" t="str">
        <x:v>1:10</x:v>
      </x:c>
      <x:c r="E10" s="14" t="str">
        <x:v>A04</x:v>
      </x:c>
      <x:c r="F10" s="14" t="str">
        <x:v>三视已绘</x:v>
      </x:c>
      <x:c r="G10" s="14" t="str">
        <x:v>钢结构总成 · 底视布置、三视与焊接</x:v>
      </x:c>
      <x:c r="H10" s="14" t="str">
        <x:v>顾客DWG SRC-02/03/04 + R01统一尺寸</x:v>
      </x:c>
    </x:row>
    <x:row r="11" ht="36" hidden="0" customHeight="1">
      <x:c r="A11" s="13" t="str">
        <x:v>A03</x:v>
      </x:c>
      <x:c r="B11" s="13" t="str">
        <x:v>桌面与翻盖总成｜孔位、毛刷及护口布置</x:v>
      </x:c>
      <x:c r="C11" s="20" t="n">
        <x:v>4</x:v>
      </x:c>
      <x:c r="D11" s="13" t="str">
        <x:v>1:10</x:v>
      </x:c>
      <x:c r="E11" s="13" t="str">
        <x:v>A03</x:v>
      </x:c>
      <x:c r="F11" s="13" t="str">
        <x:v>成型三视已绘；配孔及装配按页内说明</x:v>
      </x:c>
      <x:c r="G11" s="13" t="str">
        <x:v>桌面与翻盖总成｜孔位、毛刷及护口布置</x:v>
      </x:c>
      <x:c r="H11" s="13" t="str">
        <x:v>原图总装顶视及D节点；同版控制R01</x:v>
      </x:c>
    </x:row>
    <x:row r="12" ht="36" hidden="0" customHeight="1">
      <x:c r="A12" s="14" t="str">
        <x:v>A05</x:v>
      </x:c>
      <x:c r="B12" s="14" t="str">
        <x:v>承托盒总成｜两组翻盖下方安装</x:v>
      </x:c>
      <x:c r="C12" s="19" t="n">
        <x:v>5</x:v>
      </x:c>
      <x:c r="D12" s="14" t="str">
        <x:v>1:2</x:v>
      </x:c>
      <x:c r="E12" s="14" t="str">
        <x:v>A05</x:v>
      </x:c>
      <x:c r="F12" s="14" t="str">
        <x:v>成型三视已绘；配孔及装配按页内说明</x:v>
      </x:c>
      <x:c r="G12" s="14" t="str">
        <x:v>承托盒总成｜两组翻盖下方安装</x:v>
      </x:c>
      <x:c r="H12" s="14" t="str">
        <x:v>原图总装顶视及D节点；同版控制R01</x:v>
      </x:c>
    </x:row>
    <x:row r="13" ht="36" hidden="0" customHeight="1">
      <x:c r="A13" s="13" t="str">
        <x:v>W01</x:v>
      </x:c>
      <x:c r="B13" s="13" t="str">
        <x:v>W01 桌面成品板｜实际切口与封边控制</x:v>
      </x:c>
      <x:c r="C13" s="20" t="n">
        <x:v>6</x:v>
      </x:c>
      <x:c r="D13" s="13" t="str">
        <x:v>1:10</x:v>
      </x:c>
      <x:c r="E13" s="13" t="str">
        <x:v>W01</x:v>
      </x:c>
      <x:c r="F13" s="13" t="str">
        <x:v>成型三视已绘；配孔及装配按页内说明</x:v>
      </x:c>
      <x:c r="G13" s="13" t="str">
        <x:v>W01 桌面成品板｜实际切口与封边控制</x:v>
      </x:c>
      <x:c r="H13" s="13" t="str">
        <x:v>原图总装顶视及D节点；同版控制R01</x:v>
      </x:c>
    </x:row>
    <x:row r="14" ht="36" hidden="0" customHeight="1">
      <x:c r="A14" s="14" t="str">
        <x:v>W02</x:v>
      </x:c>
      <x:c r="B14" s="14" t="str">
        <x:v>W02A / W02B 翻盖板｜有槽与实板配对</x:v>
      </x:c>
      <x:c r="C14" s="19" t="n">
        <x:v>7</x:v>
      </x:c>
      <x:c r="D14" s="14" t="str">
        <x:v>1:2</x:v>
      </x:c>
      <x:c r="E14" s="14" t="str">
        <x:v>W02A、W02B</x:v>
      </x:c>
      <x:c r="F14" s="14" t="str">
        <x:v>成型三视已绘；配孔及装配按页内说明</x:v>
      </x:c>
      <x:c r="G14" s="14" t="str">
        <x:v>W02A / W02B 翻盖板｜有槽与实板配对</x:v>
      </x:c>
      <x:c r="H14" s="14" t="str">
        <x:v>原图总装顶视及D节点；同版控制R01</x:v>
      </x:c>
    </x:row>
    <x:row r="15" ht="36" hidden="0" customHeight="1">
      <x:c r="A15" s="13" t="str">
        <x:v>W03</x:v>
      </x:c>
      <x:c r="B15" s="13" t="str">
        <x:v>W03 承托盒长侧板｜阻燃多层板</x:v>
      </x:c>
      <x:c r="C15" s="20" t="n">
        <x:v>8</x:v>
      </x:c>
      <x:c r="D15" s="13" t="str">
        <x:v>1:2</x:v>
      </x:c>
      <x:c r="E15" s="13" t="str">
        <x:v>W03</x:v>
      </x:c>
      <x:c r="F15" s="13" t="str">
        <x:v>成型三视已绘；配孔及装配按页内说明</x:v>
      </x:c>
      <x:c r="G15" s="13" t="str">
        <x:v>W03 承托盒长侧板｜阻燃多层板</x:v>
      </x:c>
      <x:c r="H15" s="13" t="str">
        <x:v>原图总装顶视及D节点；同版控制R01</x:v>
      </x:c>
    </x:row>
    <x:row r="16" ht="36" hidden="0" customHeight="1">
      <x:c r="A16" s="14" t="str">
        <x:v>W04</x:v>
      </x:c>
      <x:c r="B16" s="14" t="str">
        <x:v>W04A / W04B 承托盒短侧板｜有孔与无孔分件</x:v>
      </x:c>
      <x:c r="C16" s="19" t="n">
        <x:v>9</x:v>
      </x:c>
      <x:c r="D16" s="14" t="str">
        <x:v>1:2</x:v>
      </x:c>
      <x:c r="E16" s="14" t="str">
        <x:v>W04A、W04B</x:v>
      </x:c>
      <x:c r="F16" s="14" t="str">
        <x:v>成型三视已绘；配孔及装配按页内说明</x:v>
      </x:c>
      <x:c r="G16" s="14" t="str">
        <x:v>W04A / W04B 承托盒短侧板｜有孔与无孔分件</x:v>
      </x:c>
      <x:c r="H16" s="14" t="str">
        <x:v>原图总装顶视及D节点；同版控制R01</x:v>
      </x:c>
    </x:row>
    <x:row r="17" ht="36" hidden="0" customHeight="1">
      <x:c r="A17" s="13" t="str">
        <x:v>W05</x:v>
      </x:c>
      <x:c r="B17" s="13" t="str">
        <x:v>W05 承托盒底板｜托底构造与三视</x:v>
      </x:c>
      <x:c r="C17" s="20" t="n">
        <x:v>10</x:v>
      </x:c>
      <x:c r="D17" s="13" t="str">
        <x:v>1:2</x:v>
      </x:c>
      <x:c r="E17" s="13" t="str">
        <x:v>W05</x:v>
      </x:c>
      <x:c r="F17" s="13" t="str">
        <x:v>成型三视已绘；配孔及装配按页内说明</x:v>
      </x:c>
      <x:c r="G17" s="13" t="str">
        <x:v>W05 承托盒底板｜托底构造与三视</x:v>
      </x:c>
      <x:c r="H17" s="13" t="str">
        <x:v>原图总装顶视及D节点；同版控制R01</x:v>
      </x:c>
    </x:row>
    <x:row r="18" ht="36" hidden="0" customHeight="1">
      <x:c r="A18" s="14" t="str">
        <x:v>S01</x:v>
      </x:c>
      <x:c r="B18" s="14" t="str">
        <x:v>长边斜腹板 · 成型与端部放样</x:v>
      </x:c>
      <x:c r="C18" s="19" t="n">
        <x:v>11</x:v>
      </x:c>
      <x:c r="D18" s="14" t="str">
        <x:v>1:10</x:v>
      </x:c>
      <x:c r="E18" s="14" t="str">
        <x:v>S01</x:v>
      </x:c>
      <x:c r="F18" s="14" t="str">
        <x:v>已绘成型尺寸及工艺说明</x:v>
      </x:c>
      <x:c r="G18" s="14" t="str">
        <x:v>长边斜腹板 · 成型与端部放样</x:v>
      </x:c>
      <x:c r="H18" s="14" t="str">
        <x:v>顾客DWG SRC-02/03/04；R01深化</x:v>
      </x:c>
    </x:row>
    <x:row r="19" ht="36" hidden="0" customHeight="1">
      <x:c r="A19" s="13" t="str">
        <x:v>S02</x:v>
      </x:c>
      <x:c r="B19" s="13" t="str">
        <x:v>短边斜腹板 · 成型与端部放样</x:v>
      </x:c>
      <x:c r="C19" s="20" t="n">
        <x:v>12</x:v>
      </x:c>
      <x:c r="D19" s="13" t="str">
        <x:v>1:5</x:v>
      </x:c>
      <x:c r="E19" s="13" t="str">
        <x:v>S02</x:v>
      </x:c>
      <x:c r="F19" s="13" t="str">
        <x:v>已绘成型尺寸及工艺说明</x:v>
      </x:c>
      <x:c r="G19" s="13" t="str">
        <x:v>短边斜腹板 · 成型与端部放样</x:v>
      </x:c>
      <x:c r="H19" s="13" t="str">
        <x:v>顾客DWG SRC-02/03/04；R01深化</x:v>
      </x:c>
    </x:row>
    <x:row r="20" ht="36" hidden="0" customHeight="1">
      <x:c r="A20" s="14" t="str">
        <x:v>A07</x:v>
      </x:c>
      <x:c r="B20" s="14" t="str">
        <x:v>刀形桌腿总成 · 分缝、脚件与过线</x:v>
      </x:c>
      <x:c r="C20" s="19" t="n">
        <x:v>13</x:v>
      </x:c>
      <x:c r="D20" s="14" t="str">
        <x:v>1:5</x:v>
      </x:c>
      <x:c r="E20" s="14" t="str">
        <x:v>A07</x:v>
      </x:c>
      <x:c r="F20" s="14" t="str">
        <x:v>已绘成型尺寸及工艺说明</x:v>
      </x:c>
      <x:c r="G20" s="14" t="str">
        <x:v>刀形桌腿总成 · 分缝、脚件与过线</x:v>
      </x:c>
      <x:c r="H20" s="14" t="str">
        <x:v>顾客DWG SRC-02/03/04；R01深化</x:v>
      </x:c>
    </x:row>
    <x:row r="21" ht="36" hidden="0" customHeight="1">
      <x:c r="A21" s="13" t="str">
        <x:v>S03A</x:v>
      </x:c>
      <x:c r="B21" s="13" t="str">
        <x:v>刀形腿壳 · 成型三视与焊缝</x:v>
      </x:c>
      <x:c r="C21" s="20" t="n">
        <x:v>14</x:v>
      </x:c>
      <x:c r="D21" s="13" t="str">
        <x:v>1:5</x:v>
      </x:c>
      <x:c r="E21" s="13" t="str">
        <x:v>S03A</x:v>
      </x:c>
      <x:c r="F21" s="13" t="str">
        <x:v>已绘成型尺寸及工艺说明</x:v>
      </x:c>
      <x:c r="G21" s="13" t="str">
        <x:v>刀形腿壳 · 成型三视与焊缝</x:v>
      </x:c>
      <x:c r="H21" s="13" t="str">
        <x:v>顾客DWG SRC-02/03/04；R01深化</x:v>
      </x:c>
    </x:row>
    <x:row r="22" ht="36" hidden="0" customHeight="1">
      <x:c r="A22" s="14" t="str">
        <x:v>S03BC</x:v>
      </x:c>
      <x:c r="B22" s="14" t="str">
        <x:v>刀形腿封板 · 内端板与底封板</x:v>
      </x:c>
      <x:c r="C22" s="19" t="n">
        <x:v>15</x:v>
      </x:c>
      <x:c r="D22" s="14" t="str">
        <x:v>1:5</x:v>
      </x:c>
      <x:c r="E22" s="14" t="str">
        <x:v>S03B、S03C</x:v>
      </x:c>
      <x:c r="F22" s="14" t="str">
        <x:v>已绘成型尺寸及工艺说明</x:v>
      </x:c>
      <x:c r="G22" s="14" t="str">
        <x:v>刀形腿封板 · 内端板与底封板</x:v>
      </x:c>
      <x:c r="H22" s="14" t="str">
        <x:v>顾客DWG SRC-02/03/04；R01深化</x:v>
      </x:c>
    </x:row>
    <x:row r="23" ht="36" hidden="0" customHeight="1">
      <x:c r="A23" s="13" t="str">
        <x:v>S04</x:v>
      </x:c>
      <x:c r="B23" s="13" t="str">
        <x:v>桌肚底盘 · 折边、检修口与定位</x:v>
      </x:c>
      <x:c r="C23" s="20" t="n">
        <x:v>16</x:v>
      </x:c>
      <x:c r="D23" s="13" t="str">
        <x:v>1:10</x:v>
      </x:c>
      <x:c r="E23" s="13" t="str">
        <x:v>S04</x:v>
      </x:c>
      <x:c r="F23" s="13" t="str">
        <x:v>已绘成型尺寸及工艺说明</x:v>
      </x:c>
      <x:c r="G23" s="13" t="str">
        <x:v>桌肚底盘 · 折边、检修口与定位</x:v>
      </x:c>
      <x:c r="H23" s="13" t="str">
        <x:v>顾客DWG SRC-02/03/04；R01深化</x:v>
      </x:c>
    </x:row>
    <x:row r="24" ht="36" hidden="0" customHeight="1">
      <x:c r="A24" s="14" t="str">
        <x:v>S07</x:v>
      </x:c>
      <x:c r="B24" s="14" t="str">
        <x:v>检修门 · 门缝、铰链与排插固定</x:v>
      </x:c>
      <x:c r="C24" s="19" t="n">
        <x:v>17</x:v>
      </x:c>
      <x:c r="D24" s="14" t="str">
        <x:v>1:5</x:v>
      </x:c>
      <x:c r="E24" s="14" t="str">
        <x:v>S07</x:v>
      </x:c>
      <x:c r="F24" s="14" t="str">
        <x:v>已绘成型尺寸及工艺说明</x:v>
      </x:c>
      <x:c r="G24" s="14" t="str">
        <x:v>检修门 · 门缝、铰链与排插固定</x:v>
      </x:c>
      <x:c r="H24" s="14" t="str">
        <x:v>顾客DWG SRC-02/03/04；R01深化</x:v>
      </x:c>
    </x:row>
    <x:row r="25" ht="36" hidden="0" customHeight="1">
      <x:c r="A25" s="13" t="str">
        <x:v>S05</x:v>
      </x:c>
      <x:c r="B25" s="13" t="str">
        <x:v>S05  长向 C 型加强筋成型制作</x:v>
      </x:c>
      <x:c r="C25" s="20" t="n">
        <x:v>18</x:v>
      </x:c>
      <x:c r="D25" s="13" t="str">
        <x:v>1:5</x:v>
      </x:c>
      <x:c r="E25" s="13" t="str">
        <x:v>S05</x:v>
      </x:c>
      <x:c r="F25" s="13" t="str">
        <x:v>成型已绘；干涉按同版腹板已消除；试装与折弯展开待核</x:v>
      </x:c>
      <x:c r="G25" s="13" t="str">
        <x:v>长向C筋成型三视、原端部斜切控制与安装横截面；T2、30×97、唇13、净430。</x:v>
      </x:c>
      <x:c r="H25" s="13" t="str">
        <x:v>源BV-BV 0x7EC7..0x7EF2；D节点0x84A2..0x84D5；R01包络与筋距统一</x:v>
      </x:c>
    </x:row>
    <x:row r="26" ht="36" hidden="0" customHeight="1">
      <x:c r="A26" s="14" t="str">
        <x:v>S06</x:v>
      </x:c>
      <x:c r="B26" s="14" t="str">
        <x:v>S06  U 型卡槽成型制作与安装</x:v>
      </x:c>
      <x:c r="C26" s="19" t="n">
        <x:v>19</x:v>
      </x:c>
      <x:c r="D26" s="14" t="str">
        <x:v>1:1</x:v>
      </x:c>
      <x:c r="E26" s="14" t="str">
        <x:v>S06</x:v>
      </x:c>
      <x:c r="F26" s="14" t="str">
        <x:v>成型已绘；试卡与折弯展开待核</x:v>
      </x:c>
      <x:c r="G26" s="14" t="str">
        <x:v>U槽成型三视与口沿截面；真实底宽25、喉口18、高20，外翻唇单独表达。</x:v>
      </x:c>
      <x:c r="H26" s="14" t="str">
        <x:v>源U型卡槽0xD353..0xD35F及18/20/25/100标注；R01按T1归整</x:v>
      </x:c>
    </x:row>
    <x:row r="27" ht="36" hidden="0" customHeight="1">
      <x:c r="A27" s="13" t="str">
        <x:v>A06</x:v>
      </x:c>
      <x:c r="B27" s="13" t="str">
        <x:v>A06 小孔过线护口组件｜配合与安装</x:v>
      </x:c>
      <x:c r="C27" s="20" t="n">
        <x:v>20</x:v>
      </x:c>
      <x:c r="D27" s="13" t="str">
        <x:v>5:1</x:v>
      </x:c>
      <x:c r="E27" s="13" t="str">
        <x:v>A06</x:v>
      </x:c>
      <x:c r="F27" s="13" t="str">
        <x:v>已绘并校核</x:v>
      </x:c>
      <x:c r="G27" s="13" t="str">
        <x:v>20护套、10封盖、10内片；同轴配合及板厚关系</x:v>
      </x:c>
      <x:c r="H27" s="13" t="str">
        <x:v>SRC-05：0x6389..0x6390、0x63d9..0x63e4、0xca02；桌面20孔/源内盖10件</x:v>
      </x:c>
    </x:row>
    <x:row r="28" ht="36" hidden="0" customHeight="1">
      <x:c r="A28" s="14" t="str">
        <x:v>M01</x:v>
      </x:c>
      <x:c r="B28" s="14" t="str">
        <x:v>M01 304不锈钢过线外护套｜20件/桌</x:v>
      </x:c>
      <x:c r="C28" s="19" t="n">
        <x:v>21</x:v>
      </x:c>
      <x:c r="D28" s="14" t="str">
        <x:v>5:1</x:v>
      </x:c>
      <x:c r="E28" s="14" t="str">
        <x:v>M01</x:v>
      </x:c>
      <x:c r="F28" s="14" t="str">
        <x:v>已绘并校核</x:v>
      </x:c>
      <x:c r="G28" s="14" t="str">
        <x:v>真实口缘线弧、外内径、沉孔、下口圆角及三视投影</x:v>
      </x:c>
      <x:c r="H28" s="14" t="str">
        <x:v>SRC-05：0x638d..0x6390、0x63dc..0x63e2；口缘0x63c3..0x63c6，CX倍率归一</x:v>
      </x:c>
    </x:row>
    <x:row r="29" ht="36" hidden="0" customHeight="1">
      <x:c r="A29" s="13" t="str">
        <x:v>M02</x:v>
      </x:c>
      <x:c r="B29" s="13" t="str">
        <x:v>M02 304不锈钢过线内盖｜10件/桌</x:v>
      </x:c>
      <x:c r="C29" s="20" t="n">
        <x:v>22</x:v>
      </x:c>
      <x:c r="D29" s="13" t="str">
        <x:v>5:1</x:v>
      </x:c>
      <x:c r="E29" s="13" t="str">
        <x:v>M02</x:v>
      </x:c>
      <x:c r="F29" s="13" t="str">
        <x:v>已绘并校核</x:v>
      </x:c>
      <x:c r="G29" s="13" t="str">
        <x:v>带盲孔的台阶内盖三视、全剖、壁厚和胶接位置</x:v>
      </x:c>
      <x:c r="H29" s="13" t="str">
        <x:v>SRC-05：0x6389..0x638b、0x63d9..0x63db、0x63e3/0x63e4、0xca04/0xca06</x:v>
      </x:c>
    </x:row>
    <x:row r="30" ht="36" hidden="0" customHeight="1">
      <x:c r="A30" s="14" t="str">
        <x:v>M03</x:v>
      </x:c>
      <x:c r="B30" s="14" t="str">
        <x:v>M03 内盖镀锌内贴片｜10件/桌</x:v>
      </x:c>
      <x:c r="C30" s="19" t="n">
        <x:v>23</x:v>
      </x:c>
      <x:c r="D30" s="14" t="str">
        <x:v>10:1</x:v>
      </x:c>
      <x:c r="E30" s="14" t="str">
        <x:v>M03</x:v>
      </x:c>
      <x:c r="F30" s="14" t="str">
        <x:v>已绘并校核</x:v>
      </x:c>
      <x:c r="G30" s="14" t="str">
        <x:v>圆形内片三视、剖面、直径厚度和配套数量</x:v>
      </x:c>
      <x:c r="H30" s="14" t="str">
        <x:v>SRC-05：0xca02 原注“内粘φ6*3厚镀锌板”；内盖10件</x:v>
      </x:c>
    </x:row>
    <x:row r="31" ht="36" hidden="0" customHeight="1">
      <x:c r="A31" s="13" t="str">
        <x:v>E01</x:v>
      </x:c>
      <x:c r="B31" s="13" t="str">
        <x:v>电气安装与走线｜位置、连接及R01过线调整</x:v>
      </x:c>
      <x:c r="C31" s="20" t="n">
        <x:v>24</x:v>
      </x:c>
      <x:c r="D31" s="13" t="str">
        <x:v>1:10</x:v>
      </x:c>
      <x:c r="E31" s="13" t="str">
        <x:v>E01、E02、E03、E04、E05、E06</x:v>
      </x:c>
      <x:c r="F31" s="13" t="str">
        <x:v>安装投影/规格数量已绘；外购型号按样板</x:v>
      </x:c>
      <x:c r="G31" s="13" t="str">
        <x:v>三向安装投影、真实定位、3C/3×1.5mm²及源管径冲突的R01调整</x:v>
      </x:c>
      <x:c r="H31" s="13" t="str">
        <x:v>顾客DWG现行电气/五金原注；R01翻盖2组、检修门2件、前左腿出线</x:v>
      </x:c>
    </x:row>
    <x:row r="32" ht="36" hidden="0" customHeight="1">
      <x:c r="A32" s="14" t="str">
        <x:v>H01</x:v>
      </x:c>
      <x:c r="B32" s="14" t="str">
        <x:v>五金与毛刷配套｜数量、接口及模板配钻</x:v>
      </x:c>
      <x:c r="C32" s="19" t="n">
        <x:v>25</x:v>
      </x:c>
      <x:c r="D32" s="14" t="str">
        <x:v>1:2</x:v>
      </x:c>
      <x:c r="E32" s="14" t="str">
        <x:v>H01、H02、H03、H04、H05、H06、H07、H08、H09、B01、B02</x:v>
      </x:c>
      <x:c r="F32" s="14" t="str">
        <x:v>安装投影/规格数量已绘；外购型号按样板</x:v>
      </x:c>
      <x:c r="G32" s="14" t="str">
        <x:v>H01~H09、B01/B02规格数量与接口；外购型号及配孔依到货模板</x:v>
      </x:c>
      <x:c r="H32" s="14" t="str">
        <x:v>顾客DWG现行电气/五金原注；R01翻盖2组、检修门2件、前左腿出线</x:v>
      </x:c>
    </x:row>
  </x:sheetData>
  <x:pageMargins left="0.7" right="0.7" top="0.75" bottom="0.75" header="0.3" footer="0.3"/>
  <x:tableParts count="1">
    <x:tablePart xmlns:r="http://schemas.openxmlformats.org/officeDocument/2006/relationships" r:id="R64eb2eed7e314b3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7" hidden="0" customWidth="1"/>
    <x:col min="2" max="2" width="35" hidden="0" customWidth="1"/>
    <x:col min="3" max="3" width="20" hidden="0" customWidth="1"/>
    <x:col min="4" max="4" width="18" hidden="0" customWidth="1"/>
    <x:col min="5" max="5" width="10" hidden="0" customWidth="1"/>
    <x:col min="6" max="6" width="20" hidden="0" customWidth="1"/>
    <x:col min="7" max="7" width="20" hidden="0" customWidth="1"/>
    <x:col min="8" max="8" width="20" hidden="0" customWidth="1"/>
    <x:col min="9" max="9" width="23" hidden="0" customWidth="1"/>
    <x:col min="10" max="10" width="42" hidden="0" customWidth="1"/>
    <x:col min="11" max="11" width="60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0" customHeight="1">
      <x:c r="A2" s="3" t="str">
        <x:v>整机、总成与零件三视覆盖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30" customHeight="1">
      <x:c r="A3" s="21" t="str">
        <x:v>HW73005-L2000　L2000体验桌　R01　尺寸单位 mm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30" customHeight="1">
      <x:c r="A4" s="2" t="str">
        <x:v>批量（套）</x:v>
      </x:c>
      <x:c r="B4" s="23" t="n">
        <x:f>'零件清单'!$B$4</x:f>
        <x:v>1</x:v>
      </x:c>
      <x:c r="C4" s="2"/>
      <x:c r="D4" s="2" t="str">
        <x:v>版次日期</x:v>
      </x:c>
      <x:c r="E4" s="25" t="n">
        <x:v>46296</x:v>
      </x:c>
      <x:c r="F4" s="2"/>
      <x:c r="G4" s="2"/>
      <x:c r="H4" s="2"/>
      <x:c r="I4" s="2"/>
      <x:c r="J4" s="2"/>
      <x:c r="K4" s="2"/>
    </x:row>
    <x:row r="5" ht="30" customHeight="1">
      <x:c r="A5" s="2" t="str">
        <x:v>已提供表示图中存在相应视图，尺寸和工艺完整性另见状态与复核记录；未给出映射的视图保持待核实。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30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</x:row>
    <x:row r="7" ht="32" customHeight="1">
      <x:c r="A7" s="9" t="str">
        <x:v>对象编号</x:v>
      </x:c>
      <x:c r="B7" s="10" t="str">
        <x:v>对象名称</x:v>
      </x:c>
      <x:c r="C7" s="10" t="str">
        <x:v>对象类型</x:v>
      </x:c>
      <x:c r="D7" s="10" t="str">
        <x:v>对应图号</x:v>
      </x:c>
      <x:c r="E7" s="10" t="str">
        <x:v>PDF 页</x:v>
      </x:c>
      <x:c r="F7" s="10" t="str">
        <x:v>正视图</x:v>
      </x:c>
      <x:c r="G7" s="10" t="str">
        <x:v>俯视图</x:v>
      </x:c>
      <x:c r="H7" s="10" t="str">
        <x:v>侧视图</x:v>
      </x:c>
      <x:c r="I7" s="10" t="str">
        <x:v>状态</x:v>
      </x:c>
      <x:c r="J7" s="10" t="str">
        <x:v>所属 / 关联对象</x:v>
      </x:c>
      <x:c r="K7" s="11" t="str">
        <x:v>说明</x:v>
      </x:c>
    </x:row>
    <x:row r="8" ht="36" hidden="0" customHeight="1">
      <x:c r="A8" s="14" t="str">
        <x:v>A01</x:v>
      </x:c>
      <x:c r="B8" s="14" t="str">
        <x:v>整桌总装 · 三视、基准与装配尺寸</x:v>
      </x:c>
      <x:c r="C8" s="14" t="str">
        <x:v>图纸 / 总成</x:v>
      </x:c>
      <x:c r="D8" s="14" t="str">
        <x:v>A01</x:v>
      </x:c>
      <x:c r="E8" s="19" t="n">
        <x:v>1</x:v>
      </x:c>
      <x:c r="F8" s="14" t="str">
        <x:v>已绘</x:v>
      </x:c>
      <x:c r="G8" s="14" t="str">
        <x:v>已绘</x:v>
      </x:c>
      <x:c r="H8" s="14" t="str">
        <x:v>已绘</x:v>
      </x:c>
      <x:c r="I8" s="14" t="str">
        <x:v>三视已绘</x:v>
      </x:c>
      <x:c r="J8" s="14" t="str">
        <x:v>A01</x:v>
      </x:c>
      <x:c r="K8" s="14" t="str">
        <x:v>整桌总装 · 三视、基准与装配尺寸</x:v>
      </x:c>
    </x:row>
    <x:row r="9" ht="36" hidden="0" customHeight="1">
      <x:c r="A9" s="13" t="str">
        <x:v>A02</x:v>
      </x:c>
      <x:c r="B9" s="13" t="str">
        <x:v>总装拆件 · 构件分离轴测与安装层次</x:v>
      </x:c>
      <x:c r="C9" s="13" t="str">
        <x:v>图纸 / 总成</x:v>
      </x:c>
      <x:c r="D9" s="13" t="str">
        <x:v>A02</x:v>
      </x:c>
      <x:c r="E9" s="20" t="n">
        <x:v>2</x:v>
      </x:c>
      <x:c r="F9" s="13" t="str">
        <x:v>见A01/A04</x:v>
      </x:c>
      <x:c r="G9" s="13" t="str">
        <x:v>见A01/A04</x:v>
      </x:c>
      <x:c r="H9" s="13" t="str">
        <x:v>见A01/A04</x:v>
      </x:c>
      <x:c r="I9" s="13" t="str">
        <x:v>真实构件分离轴测；不作加工量测</x:v>
      </x:c>
      <x:c r="J9" s="13" t="str">
        <x:v>W01、W02A、W02B、A05、S01、S02、S04、S05、S07、A07</x:v>
      </x:c>
      <x:c r="K9" s="13" t="str">
        <x:v>总装拆件 · 构件分离轴测与安装层次</x:v>
      </x:c>
    </x:row>
    <x:row r="10" ht="36" hidden="0" customHeight="1">
      <x:c r="A10" s="14" t="str">
        <x:v>A04</x:v>
      </x:c>
      <x:c r="B10" s="14" t="str">
        <x:v>钢结构总成 · 底视布置、三视与焊接</x:v>
      </x:c>
      <x:c r="C10" s="14" t="str">
        <x:v>图纸 / 总成</x:v>
      </x:c>
      <x:c r="D10" s="14" t="str">
        <x:v>A04</x:v>
      </x:c>
      <x:c r="E10" s="19" t="n">
        <x:v>3</x:v>
      </x:c>
      <x:c r="F10" s="14" t="str">
        <x:v>已绘</x:v>
      </x:c>
      <x:c r="G10" s="14" t="str">
        <x:v>已绘</x:v>
      </x:c>
      <x:c r="H10" s="14" t="str">
        <x:v>已绘</x:v>
      </x:c>
      <x:c r="I10" s="14" t="str">
        <x:v>三视已绘</x:v>
      </x:c>
      <x:c r="J10" s="14" t="str">
        <x:v>A04</x:v>
      </x:c>
      <x:c r="K10" s="14" t="str">
        <x:v>钢结构总成 · 底视布置、三视与焊接</x:v>
      </x:c>
    </x:row>
    <x:row r="11" ht="36" hidden="0" customHeight="1">
      <x:c r="A11" s="13" t="str">
        <x:v>A03</x:v>
      </x:c>
      <x:c r="B11" s="13" t="str">
        <x:v>桌面与翻盖总成｜孔位、毛刷及护口布置</x:v>
      </x:c>
      <x:c r="C11" s="13" t="str">
        <x:v>图纸 / 总成</x:v>
      </x:c>
      <x:c r="D11" s="13" t="str">
        <x:v>A03</x:v>
      </x:c>
      <x:c r="E11" s="20" t="n">
        <x:v>4</x:v>
      </x:c>
      <x:c r="F11" s="13" t="str">
        <x:v>A03/正视：实体及尺寸已绘</x:v>
      </x:c>
      <x:c r="G11" s="13" t="str">
        <x:v>A03/俯视：实体及孔槽已绘</x:v>
      </x:c>
      <x:c r="H11" s="13" t="str">
        <x:v>A03/右视：实体、厚度及隐藏线已绘</x:v>
      </x:c>
      <x:c r="I11" s="13" t="str">
        <x:v>成型三视已绘；配孔及装配按页内说明</x:v>
      </x:c>
      <x:c r="J11" s="13" t="str">
        <x:v>A03</x:v>
      </x:c>
      <x:c r="K11" s="13" t="str">
        <x:v>桌面与翻盖总成｜孔位、毛刷及护口布置</x:v>
      </x:c>
    </x:row>
    <x:row r="12" ht="36" hidden="0" customHeight="1">
      <x:c r="A12" s="14" t="str">
        <x:v>A05</x:v>
      </x:c>
      <x:c r="B12" s="14" t="str">
        <x:v>承托盒总成｜两组翻盖下方安装</x:v>
      </x:c>
      <x:c r="C12" s="14" t="str">
        <x:v>图纸 / 总成</x:v>
      </x:c>
      <x:c r="D12" s="14" t="str">
        <x:v>A05</x:v>
      </x:c>
      <x:c r="E12" s="19" t="n">
        <x:v>5</x:v>
      </x:c>
      <x:c r="F12" s="14" t="str">
        <x:v>A05/正视：实体及尺寸已绘</x:v>
      </x:c>
      <x:c r="G12" s="14" t="str">
        <x:v>A05/俯视：实体及孔槽已绘</x:v>
      </x:c>
      <x:c r="H12" s="14" t="str">
        <x:v>A05/右视：实体、厚度及隐藏线已绘</x:v>
      </x:c>
      <x:c r="I12" s="14" t="str">
        <x:v>成型三视已绘；配孔及装配按页内说明</x:v>
      </x:c>
      <x:c r="J12" s="14" t="str">
        <x:v>A05</x:v>
      </x:c>
      <x:c r="K12" s="14" t="str">
        <x:v>承托盒总成｜两组翻盖下方安装</x:v>
      </x:c>
    </x:row>
    <x:row r="13" ht="36" hidden="0" customHeight="1">
      <x:c r="A13" s="13" t="str">
        <x:v>W01</x:v>
      </x:c>
      <x:c r="B13" s="13" t="str">
        <x:v>W01 桌面成品板｜实际切口与封边控制</x:v>
      </x:c>
      <x:c r="C13" s="13" t="str">
        <x:v>图纸 / 总成</x:v>
      </x:c>
      <x:c r="D13" s="13" t="str">
        <x:v>W01</x:v>
      </x:c>
      <x:c r="E13" s="20" t="n">
        <x:v>6</x:v>
      </x:c>
      <x:c r="F13" s="13" t="str">
        <x:v>W01/正视：实体及尺寸已绘</x:v>
      </x:c>
      <x:c r="G13" s="13" t="str">
        <x:v>W01/俯视：实体及孔槽已绘</x:v>
      </x:c>
      <x:c r="H13" s="13" t="str">
        <x:v>W01/右视：实体、厚度及隐藏线已绘</x:v>
      </x:c>
      <x:c r="I13" s="13" t="str">
        <x:v>成型三视已绘；配孔及装配按页内说明</x:v>
      </x:c>
      <x:c r="J13" s="13" t="str">
        <x:v>W01</x:v>
      </x:c>
      <x:c r="K13" s="13" t="str">
        <x:v>W01 桌面成品板｜实际切口与封边控制</x:v>
      </x:c>
    </x:row>
    <x:row r="14" ht="36" hidden="0" customHeight="1">
      <x:c r="A14" s="14" t="str">
        <x:v>W02</x:v>
      </x:c>
      <x:c r="B14" s="14" t="str">
        <x:v>W02A / W02B 翻盖板｜有槽与实板配对</x:v>
      </x:c>
      <x:c r="C14" s="14" t="str">
        <x:v>图纸 / 总成</x:v>
      </x:c>
      <x:c r="D14" s="14" t="str">
        <x:v>W02</x:v>
      </x:c>
      <x:c r="E14" s="19" t="n">
        <x:v>7</x:v>
      </x:c>
      <x:c r="F14" s="14" t="str">
        <x:v>W02/正视：实体及尺寸已绘</x:v>
      </x:c>
      <x:c r="G14" s="14" t="str">
        <x:v>W02/俯视：实体及孔槽已绘</x:v>
      </x:c>
      <x:c r="H14" s="14" t="str">
        <x:v>W02/右视：实体、厚度及隐藏线已绘</x:v>
      </x:c>
      <x:c r="I14" s="14" t="str">
        <x:v>成型三视已绘；配孔及装配按页内说明</x:v>
      </x:c>
      <x:c r="J14" s="14" t="str">
        <x:v>W02A、W02B</x:v>
      </x:c>
      <x:c r="K14" s="14" t="str">
        <x:v>W02A / W02B 翻盖板｜有槽与实板配对</x:v>
      </x:c>
    </x:row>
    <x:row r="15" ht="36" hidden="0" customHeight="1">
      <x:c r="A15" s="13" t="str">
        <x:v>W03</x:v>
      </x:c>
      <x:c r="B15" s="13" t="str">
        <x:v>W03 承托盒长侧板｜阻燃多层板</x:v>
      </x:c>
      <x:c r="C15" s="13" t="str">
        <x:v>图纸 / 总成</x:v>
      </x:c>
      <x:c r="D15" s="13" t="str">
        <x:v>W03</x:v>
      </x:c>
      <x:c r="E15" s="20" t="n">
        <x:v>8</x:v>
      </x:c>
      <x:c r="F15" s="13" t="str">
        <x:v>W03/正视：实体及尺寸已绘</x:v>
      </x:c>
      <x:c r="G15" s="13" t="str">
        <x:v>W03/俯视：实体及孔槽已绘</x:v>
      </x:c>
      <x:c r="H15" s="13" t="str">
        <x:v>W03/右视：实体、厚度及隐藏线已绘</x:v>
      </x:c>
      <x:c r="I15" s="13" t="str">
        <x:v>成型三视已绘；配孔及装配按页内说明</x:v>
      </x:c>
      <x:c r="J15" s="13" t="str">
        <x:v>W03</x:v>
      </x:c>
      <x:c r="K15" s="13" t="str">
        <x:v>W03 承托盒长侧板｜阻燃多层板</x:v>
      </x:c>
    </x:row>
    <x:row r="16" ht="36" hidden="0" customHeight="1">
      <x:c r="A16" s="14" t="str">
        <x:v>W04</x:v>
      </x:c>
      <x:c r="B16" s="14" t="str">
        <x:v>W04A / W04B 承托盒短侧板｜有孔与无孔分件</x:v>
      </x:c>
      <x:c r="C16" s="14" t="str">
        <x:v>图纸 / 总成</x:v>
      </x:c>
      <x:c r="D16" s="14" t="str">
        <x:v>W04</x:v>
      </x:c>
      <x:c r="E16" s="19" t="n">
        <x:v>9</x:v>
      </x:c>
      <x:c r="F16" s="14" t="str">
        <x:v>W04/正视：实体及尺寸已绘</x:v>
      </x:c>
      <x:c r="G16" s="14" t="str">
        <x:v>W04/俯视：实体及孔槽已绘</x:v>
      </x:c>
      <x:c r="H16" s="14" t="str">
        <x:v>W04/右视：实体、厚度及隐藏线已绘</x:v>
      </x:c>
      <x:c r="I16" s="14" t="str">
        <x:v>成型三视已绘；配孔及装配按页内说明</x:v>
      </x:c>
      <x:c r="J16" s="14" t="str">
        <x:v>W04A、W04B</x:v>
      </x:c>
      <x:c r="K16" s="14" t="str">
        <x:v>W04A / W04B 承托盒短侧板｜有孔与无孔分件</x:v>
      </x:c>
    </x:row>
    <x:row r="17" ht="36" hidden="0" customHeight="1">
      <x:c r="A17" s="13" t="str">
        <x:v>W05</x:v>
      </x:c>
      <x:c r="B17" s="13" t="str">
        <x:v>W05 承托盒底板｜托底构造与三视</x:v>
      </x:c>
      <x:c r="C17" s="13" t="str">
        <x:v>图纸 / 总成</x:v>
      </x:c>
      <x:c r="D17" s="13" t="str">
        <x:v>W05</x:v>
      </x:c>
      <x:c r="E17" s="20" t="n">
        <x:v>10</x:v>
      </x:c>
      <x:c r="F17" s="13" t="str">
        <x:v>W05/正视：实体及尺寸已绘</x:v>
      </x:c>
      <x:c r="G17" s="13" t="str">
        <x:v>W05/俯视：实体及孔槽已绘</x:v>
      </x:c>
      <x:c r="H17" s="13" t="str">
        <x:v>W05/右视：实体、厚度及隐藏线已绘</x:v>
      </x:c>
      <x:c r="I17" s="13" t="str">
        <x:v>成型三视已绘；配孔及装配按页内说明</x:v>
      </x:c>
      <x:c r="J17" s="13" t="str">
        <x:v>W05</x:v>
      </x:c>
      <x:c r="K17" s="13" t="str">
        <x:v>W05 承托盒底板｜托底构造与三视</x:v>
      </x:c>
    </x:row>
    <x:row r="18" ht="36" hidden="0" customHeight="1">
      <x:c r="A18" s="14" t="str">
        <x:v>S01</x:v>
      </x:c>
      <x:c r="B18" s="14" t="str">
        <x:v>长边斜腹板 · 成型与端部放样</x:v>
      </x:c>
      <x:c r="C18" s="14" t="str">
        <x:v>图纸 / 总成</x:v>
      </x:c>
      <x:c r="D18" s="14" t="str">
        <x:v>S01</x:v>
      </x:c>
      <x:c r="E18" s="19" t="n">
        <x:v>11</x:v>
      </x:c>
      <x:c r="F18" s="14" t="str">
        <x:v>已绘正视</x:v>
      </x:c>
      <x:c r="G18" s="14" t="str">
        <x:v>已绘俯视</x:v>
      </x:c>
      <x:c r="H18" s="14" t="str">
        <x:v>已绘右视</x:v>
      </x:c>
      <x:c r="I18" s="14" t="str">
        <x:v>已绘成型尺寸及工艺说明</x:v>
      </x:c>
      <x:c r="J18" s="14" t="str">
        <x:v>S01</x:v>
      </x:c>
      <x:c r="K18" s="14" t="str">
        <x:v>长边斜腹板 · 成型与端部放样</x:v>
      </x:c>
    </x:row>
    <x:row r="19" ht="36" hidden="0" customHeight="1">
      <x:c r="A19" s="13" t="str">
        <x:v>S02</x:v>
      </x:c>
      <x:c r="B19" s="13" t="str">
        <x:v>短边斜腹板 · 成型与端部放样</x:v>
      </x:c>
      <x:c r="C19" s="13" t="str">
        <x:v>图纸 / 总成</x:v>
      </x:c>
      <x:c r="D19" s="13" t="str">
        <x:v>S02</x:v>
      </x:c>
      <x:c r="E19" s="20" t="n">
        <x:v>12</x:v>
      </x:c>
      <x:c r="F19" s="13" t="str">
        <x:v>已绘正视</x:v>
      </x:c>
      <x:c r="G19" s="13" t="str">
        <x:v>已绘俯视</x:v>
      </x:c>
      <x:c r="H19" s="13" t="str">
        <x:v>已绘右视</x:v>
      </x:c>
      <x:c r="I19" s="13" t="str">
        <x:v>已绘成型尺寸及工艺说明</x:v>
      </x:c>
      <x:c r="J19" s="13" t="str">
        <x:v>S02</x:v>
      </x:c>
      <x:c r="K19" s="13" t="str">
        <x:v>短边斜腹板 · 成型与端部放样</x:v>
      </x:c>
    </x:row>
    <x:row r="20" ht="36" hidden="0" customHeight="1">
      <x:c r="A20" s="14" t="str">
        <x:v>A07</x:v>
      </x:c>
      <x:c r="B20" s="14" t="str">
        <x:v>刀形桌腿总成 · 分缝、脚件与过线</x:v>
      </x:c>
      <x:c r="C20" s="14" t="str">
        <x:v>图纸 / 总成</x:v>
      </x:c>
      <x:c r="D20" s="14" t="str">
        <x:v>A07</x:v>
      </x:c>
      <x:c r="E20" s="19" t="n">
        <x:v>13</x:v>
      </x:c>
      <x:c r="F20" s="14" t="str">
        <x:v>已绘正视</x:v>
      </x:c>
      <x:c r="G20" s="14" t="str">
        <x:v>已绘俯视</x:v>
      </x:c>
      <x:c r="H20" s="14" t="str">
        <x:v>已绘右视</x:v>
      </x:c>
      <x:c r="I20" s="14" t="str">
        <x:v>已绘成型尺寸及工艺说明</x:v>
      </x:c>
      <x:c r="J20" s="14" t="str">
        <x:v>A07</x:v>
      </x:c>
      <x:c r="K20" s="14" t="str">
        <x:v>刀形桌腿总成 · 分缝、脚件与过线</x:v>
      </x:c>
    </x:row>
    <x:row r="21" ht="36" hidden="0" customHeight="1">
      <x:c r="A21" s="13" t="str">
        <x:v>S03A</x:v>
      </x:c>
      <x:c r="B21" s="13" t="str">
        <x:v>刀形腿壳 · 成型三视与焊缝</x:v>
      </x:c>
      <x:c r="C21" s="13" t="str">
        <x:v>图纸 / 总成</x:v>
      </x:c>
      <x:c r="D21" s="13" t="str">
        <x:v>S03A</x:v>
      </x:c>
      <x:c r="E21" s="20" t="n">
        <x:v>14</x:v>
      </x:c>
      <x:c r="F21" s="13" t="str">
        <x:v>已绘正视</x:v>
      </x:c>
      <x:c r="G21" s="13" t="str">
        <x:v>已绘俯视</x:v>
      </x:c>
      <x:c r="H21" s="13" t="str">
        <x:v>已绘右视</x:v>
      </x:c>
      <x:c r="I21" s="13" t="str">
        <x:v>已绘成型尺寸及工艺说明</x:v>
      </x:c>
      <x:c r="J21" s="13" t="str">
        <x:v>S03A</x:v>
      </x:c>
      <x:c r="K21" s="13" t="str">
        <x:v>刀形腿壳 · 成型三视与焊缝</x:v>
      </x:c>
    </x:row>
    <x:row r="22" ht="36" hidden="0" customHeight="1">
      <x:c r="A22" s="14" t="str">
        <x:v>S03BC</x:v>
      </x:c>
      <x:c r="B22" s="14" t="str">
        <x:v>刀形腿封板 · 内端板与底封板</x:v>
      </x:c>
      <x:c r="C22" s="14" t="str">
        <x:v>图纸 / 总成</x:v>
      </x:c>
      <x:c r="D22" s="14" t="str">
        <x:v>S03BC</x:v>
      </x:c>
      <x:c r="E22" s="19" t="n">
        <x:v>15</x:v>
      </x:c>
      <x:c r="F22" s="14" t="str">
        <x:v>已绘正视</x:v>
      </x:c>
      <x:c r="G22" s="14" t="str">
        <x:v>已绘俯视</x:v>
      </x:c>
      <x:c r="H22" s="14" t="str">
        <x:v>已绘右视</x:v>
      </x:c>
      <x:c r="I22" s="14" t="str">
        <x:v>已绘成型尺寸及工艺说明</x:v>
      </x:c>
      <x:c r="J22" s="14" t="str">
        <x:v>S03B、S03C</x:v>
      </x:c>
      <x:c r="K22" s="14" t="str">
        <x:v>刀形腿封板 · 内端板与底封板</x:v>
      </x:c>
    </x:row>
    <x:row r="23" ht="36" hidden="0" customHeight="1">
      <x:c r="A23" s="13" t="str">
        <x:v>S04</x:v>
      </x:c>
      <x:c r="B23" s="13" t="str">
        <x:v>桌肚底盘 · 折边、检修口与定位</x:v>
      </x:c>
      <x:c r="C23" s="13" t="str">
        <x:v>图纸 / 总成</x:v>
      </x:c>
      <x:c r="D23" s="13" t="str">
        <x:v>S04</x:v>
      </x:c>
      <x:c r="E23" s="20" t="n">
        <x:v>16</x:v>
      </x:c>
      <x:c r="F23" s="13" t="str">
        <x:v>已绘正视</x:v>
      </x:c>
      <x:c r="G23" s="13" t="str">
        <x:v>已绘俯视</x:v>
      </x:c>
      <x:c r="H23" s="13" t="str">
        <x:v>已绘右视</x:v>
      </x:c>
      <x:c r="I23" s="13" t="str">
        <x:v>已绘成型尺寸及工艺说明</x:v>
      </x:c>
      <x:c r="J23" s="13" t="str">
        <x:v>S04</x:v>
      </x:c>
      <x:c r="K23" s="13" t="str">
        <x:v>桌肚底盘 · 折边、检修口与定位</x:v>
      </x:c>
    </x:row>
    <x:row r="24" ht="36" hidden="0" customHeight="1">
      <x:c r="A24" s="14" t="str">
        <x:v>S07</x:v>
      </x:c>
      <x:c r="B24" s="14" t="str">
        <x:v>检修门 · 门缝、铰链与排插固定</x:v>
      </x:c>
      <x:c r="C24" s="14" t="str">
        <x:v>图纸 / 总成</x:v>
      </x:c>
      <x:c r="D24" s="14" t="str">
        <x:v>S07</x:v>
      </x:c>
      <x:c r="E24" s="19" t="n">
        <x:v>17</x:v>
      </x:c>
      <x:c r="F24" s="14" t="str">
        <x:v>已绘正视</x:v>
      </x:c>
      <x:c r="G24" s="14" t="str">
        <x:v>已绘俯视</x:v>
      </x:c>
      <x:c r="H24" s="14" t="str">
        <x:v>已绘右视</x:v>
      </x:c>
      <x:c r="I24" s="14" t="str">
        <x:v>已绘成型尺寸及工艺说明</x:v>
      </x:c>
      <x:c r="J24" s="14" t="str">
        <x:v>S07</x:v>
      </x:c>
      <x:c r="K24" s="14" t="str">
        <x:v>检修门 · 门缝、铰链与排插固定</x:v>
      </x:c>
    </x:row>
    <x:row r="25" ht="36" hidden="0" customHeight="1">
      <x:c r="A25" s="13" t="str">
        <x:v>S05</x:v>
      </x:c>
      <x:c r="B25" s="13" t="str">
        <x:v>S05  长向 C 型加强筋成型制作</x:v>
      </x:c>
      <x:c r="C25" s="13" t="str">
        <x:v>图纸 / 总成</x:v>
      </x:c>
      <x:c r="D25" s="13" t="str">
        <x:v>S05</x:v>
      </x:c>
      <x:c r="E25" s="20" t="n">
        <x:v>18</x:v>
      </x:c>
      <x:c r="F25" s="13" t="str">
        <x:v>S05 正视图</x:v>
      </x:c>
      <x:c r="G25" s="13" t="str">
        <x:v>S05 俯视图</x:v>
      </x:c>
      <x:c r="H25" s="13" t="str">
        <x:v>S05 右视图</x:v>
      </x:c>
      <x:c r="I25" s="13" t="str">
        <x:v>成型已绘；干涉按同版腹板已消除；试装与折弯展开待核</x:v>
      </x:c>
      <x:c r="J25" s="13" t="str">
        <x:v>S05</x:v>
      </x:c>
      <x:c r="K25" s="13" t="str">
        <x:v>长向C筋成型三视、原端部斜切控制与安装横截面；T2、30×97、唇13、净430。</x:v>
      </x:c>
    </x:row>
    <x:row r="26" ht="36" hidden="0" customHeight="1">
      <x:c r="A26" s="14" t="str">
        <x:v>S06</x:v>
      </x:c>
      <x:c r="B26" s="14" t="str">
        <x:v>S06  U 型卡槽成型制作与安装</x:v>
      </x:c>
      <x:c r="C26" s="14" t="str">
        <x:v>图纸 / 总成</x:v>
      </x:c>
      <x:c r="D26" s="14" t="str">
        <x:v>S06</x:v>
      </x:c>
      <x:c r="E26" s="19" t="n">
        <x:v>19</x:v>
      </x:c>
      <x:c r="F26" s="14" t="str">
        <x:v>S06 正视图</x:v>
      </x:c>
      <x:c r="G26" s="14" t="str">
        <x:v>S06 俯视图</x:v>
      </x:c>
      <x:c r="H26" s="14" t="str">
        <x:v>S06 右视图</x:v>
      </x:c>
      <x:c r="I26" s="14" t="str">
        <x:v>成型已绘；试卡与折弯展开待核</x:v>
      </x:c>
      <x:c r="J26" s="14" t="str">
        <x:v>S06</x:v>
      </x:c>
      <x:c r="K26" s="14" t="str">
        <x:v>U槽成型三视与口沿截面；真实底宽25、喉口18、高20，外翻唇单独表达。</x:v>
      </x:c>
    </x:row>
    <x:row r="27" ht="36" hidden="0" customHeight="1">
      <x:c r="A27" s="13" t="str">
        <x:v>A06</x:v>
      </x:c>
      <x:c r="B27" s="13" t="str">
        <x:v>A06 小孔过线护口组件｜配合与安装</x:v>
      </x:c>
      <x:c r="C27" s="13" t="str">
        <x:v>图纸 / 总成</x:v>
      </x:c>
      <x:c r="D27" s="13" t="str">
        <x:v>A06</x:v>
      </x:c>
      <x:c r="E27" s="20" t="n">
        <x:v>20</x:v>
      </x:c>
      <x:c r="F27" s="13" t="str">
        <x:v>A06/正视图（已绘）</x:v>
      </x:c>
      <x:c r="G27" s="13" t="str">
        <x:v>A06/俯视图（已绘）</x:v>
      </x:c>
      <x:c r="H27" s="13" t="str">
        <x:v>A06/右视图（已绘）</x:v>
      </x:c>
      <x:c r="I27" s="13" t="str">
        <x:v>已绘并校核</x:v>
      </x:c>
      <x:c r="J27" s="13" t="str">
        <x:v>A06</x:v>
      </x:c>
      <x:c r="K27" s="13" t="str">
        <x:v>20护套、10封盖、10内片；同轴配合及板厚关系</x:v>
      </x:c>
    </x:row>
    <x:row r="28" ht="36" hidden="0" customHeight="1">
      <x:c r="A28" s="14" t="str">
        <x:v>M01</x:v>
      </x:c>
      <x:c r="B28" s="14" t="str">
        <x:v>M01 304不锈钢过线外护套｜20件/桌</x:v>
      </x:c>
      <x:c r="C28" s="14" t="str">
        <x:v>图纸 / 总成</x:v>
      </x:c>
      <x:c r="D28" s="14" t="str">
        <x:v>M01</x:v>
      </x:c>
      <x:c r="E28" s="19" t="n">
        <x:v>21</x:v>
      </x:c>
      <x:c r="F28" s="14" t="str">
        <x:v>M01/正视图（已绘）</x:v>
      </x:c>
      <x:c r="G28" s="14" t="str">
        <x:v>M01/俯视图（已绘）</x:v>
      </x:c>
      <x:c r="H28" s="14" t="str">
        <x:v>M01/右视图（已绘）</x:v>
      </x:c>
      <x:c r="I28" s="14" t="str">
        <x:v>已绘并校核</x:v>
      </x:c>
      <x:c r="J28" s="14" t="str">
        <x:v>M01</x:v>
      </x:c>
      <x:c r="K28" s="14" t="str">
        <x:v>真实口缘线弧、外内径、沉孔、下口圆角及三视投影</x:v>
      </x:c>
    </x:row>
    <x:row r="29" ht="36" hidden="0" customHeight="1">
      <x:c r="A29" s="13" t="str">
        <x:v>M02</x:v>
      </x:c>
      <x:c r="B29" s="13" t="str">
        <x:v>M02 304不锈钢过线内盖｜10件/桌</x:v>
      </x:c>
      <x:c r="C29" s="13" t="str">
        <x:v>图纸 / 总成</x:v>
      </x:c>
      <x:c r="D29" s="13" t="str">
        <x:v>M02</x:v>
      </x:c>
      <x:c r="E29" s="20" t="n">
        <x:v>22</x:v>
      </x:c>
      <x:c r="F29" s="13" t="str">
        <x:v>M02/正视图（已绘）</x:v>
      </x:c>
      <x:c r="G29" s="13" t="str">
        <x:v>M02/俯视图（已绘）</x:v>
      </x:c>
      <x:c r="H29" s="13" t="str">
        <x:v>M02/右视图（已绘）</x:v>
      </x:c>
      <x:c r="I29" s="13" t="str">
        <x:v>已绘并校核</x:v>
      </x:c>
      <x:c r="J29" s="13" t="str">
        <x:v>M02</x:v>
      </x:c>
      <x:c r="K29" s="13" t="str">
        <x:v>带盲孔的台阶内盖三视、全剖、壁厚和胶接位置</x:v>
      </x:c>
    </x:row>
    <x:row r="30" ht="36" hidden="0" customHeight="1">
      <x:c r="A30" s="14" t="str">
        <x:v>M03</x:v>
      </x:c>
      <x:c r="B30" s="14" t="str">
        <x:v>M03 内盖镀锌内贴片｜10件/桌</x:v>
      </x:c>
      <x:c r="C30" s="14" t="str">
        <x:v>图纸 / 总成</x:v>
      </x:c>
      <x:c r="D30" s="14" t="str">
        <x:v>M03</x:v>
      </x:c>
      <x:c r="E30" s="19" t="n">
        <x:v>23</x:v>
      </x:c>
      <x:c r="F30" s="14" t="str">
        <x:v>M03/正视图（已绘）</x:v>
      </x:c>
      <x:c r="G30" s="14" t="str">
        <x:v>M03/俯视图（已绘）</x:v>
      </x:c>
      <x:c r="H30" s="14" t="str">
        <x:v>M03/右视图（已绘）</x:v>
      </x:c>
      <x:c r="I30" s="14" t="str">
        <x:v>已绘并校核</x:v>
      </x:c>
      <x:c r="J30" s="14" t="str">
        <x:v>M03</x:v>
      </x:c>
      <x:c r="K30" s="14" t="str">
        <x:v>圆形内片三视、剖面、直径厚度和配套数量</x:v>
      </x:c>
    </x:row>
    <x:row r="31" ht="36" hidden="0" customHeight="1">
      <x:c r="A31" s="13" t="str">
        <x:v>E01</x:v>
      </x:c>
      <x:c r="B31" s="13" t="str">
        <x:v>电气安装与走线｜位置、连接及R01过线调整</x:v>
      </x:c>
      <x:c r="C31" s="13" t="str">
        <x:v>图纸 / 总成</x:v>
      </x:c>
      <x:c r="D31" s="13" t="str">
        <x:v>E01</x:v>
      </x:c>
      <x:c r="E31" s="20" t="n">
        <x:v>24</x:v>
      </x:c>
      <x:c r="F31" s="13" t="str">
        <x:v>E01/正视安装投影（已绘）</x:v>
      </x:c>
      <x:c r="G31" s="13" t="str">
        <x:v>E01/俯视安装投影（已绘）</x:v>
      </x:c>
      <x:c r="H31" s="13" t="str">
        <x:v>E01/右视安装投影（已绘）</x:v>
      </x:c>
      <x:c r="I31" s="13" t="str">
        <x:v>安装投影/规格数量已绘；外购型号按样板</x:v>
      </x:c>
      <x:c r="J31" s="13" t="str">
        <x:v>E01、E02、E03、E04、E05、E06</x:v>
      </x:c>
      <x:c r="K31" s="13" t="str">
        <x:v>三向安装投影、真实定位、3C/3×1.5mm²及源管径冲突的R01调整</x:v>
      </x:c>
    </x:row>
    <x:row r="32" ht="36" hidden="0" customHeight="1">
      <x:c r="A32" s="14" t="str">
        <x:v>H01</x:v>
      </x:c>
      <x:c r="B32" s="14" t="str">
        <x:v>五金与毛刷配套｜数量、接口及模板配钻</x:v>
      </x:c>
      <x:c r="C32" s="14" t="str">
        <x:v>图纸 / 总成</x:v>
      </x:c>
      <x:c r="D32" s="14" t="str">
        <x:v>H01</x:v>
      </x:c>
      <x:c r="E32" s="19" t="n">
        <x:v>25</x:v>
      </x:c>
      <x:c r="F32" s="14" t="str">
        <x:v>E01/正视安装投影（已绘）</x:v>
      </x:c>
      <x:c r="G32" s="14" t="str">
        <x:v>E01/俯视安装投影（已绘）</x:v>
      </x:c>
      <x:c r="H32" s="14" t="str">
        <x:v>E01/右视安装投影（已绘）</x:v>
      </x:c>
      <x:c r="I32" s="14" t="str">
        <x:v>安装投影/规格数量已绘；外购型号按样板</x:v>
      </x:c>
      <x:c r="J32" s="14" t="str">
        <x:v>H01、H02、H03、H04、H05、H06、H07、H08、H09、B01、B02</x:v>
      </x:c>
      <x:c r="K32" s="14" t="str">
        <x:v>H01~H09、B01/B02规格数量与接口；外购型号及配孔依到货模板</x:v>
      </x:c>
    </x:row>
    <x:row r="33" ht="36" hidden="0" customHeight="1">
      <x:c r="A33" s="13" t="str">
        <x:v>A01</x:v>
      </x:c>
      <x:c r="B33" s="13" t="str">
        <x:v>体验桌总装</x:v>
      </x:c>
      <x:c r="C33" s="13" t="str">
        <x:v>装配</x:v>
      </x:c>
      <x:c r="D33" s="13" t="str">
        <x:v>A01</x:v>
      </x:c>
      <x:c r="E33" s="20" t="n">
        <x:v>1</x:v>
      </x:c>
      <x:c r="F33" s="13" t="str">
        <x:v>本页正视</x:v>
      </x:c>
      <x:c r="G33" s="13" t="str">
        <x:v>本页俯视</x:v>
      </x:c>
      <x:c r="H33" s="13" t="str">
        <x:v>本页右视</x:v>
      </x:c>
      <x:c r="I33" s="13" t="str">
        <x:v>图纸数字核对；实物首件未执行</x:v>
      </x:c>
      <x:c r="J33" s="13" t="str">
        <x:v>整桌</x:v>
      </x:c>
      <x:c r="K33" s="13" t="str">
        <x:v>总成数量不重复计入领料</x:v>
      </x:c>
    </x:row>
    <x:row r="34" ht="36" hidden="0" customHeight="1">
      <x:c r="A34" s="14" t="str">
        <x:v>A04</x:v>
      </x:c>
      <x:c r="B34" s="14" t="str">
        <x:v>焊接钢结构总成</x:v>
      </x:c>
      <x:c r="C34" s="14" t="str">
        <x:v>装配</x:v>
      </x:c>
      <x:c r="D34" s="14" t="str">
        <x:v>A04</x:v>
      </x:c>
      <x:c r="E34" s="19" t="n">
        <x:v>3</x:v>
      </x:c>
      <x:c r="F34" s="14" t="str">
        <x:v>本页正视</x:v>
      </x:c>
      <x:c r="G34" s="14" t="str">
        <x:v>本页俯视</x:v>
      </x:c>
      <x:c r="H34" s="14" t="str">
        <x:v>本页右视</x:v>
      </x:c>
      <x:c r="I34" s="14" t="str">
        <x:v>图纸数字核对；实物首件未执行</x:v>
      </x:c>
      <x:c r="J34" s="14" t="str">
        <x:v>A01</x:v>
      </x:c>
      <x:c r="K34" s="14" t="str">
        <x:v>总成数量不重复计入领料</x:v>
      </x:c>
    </x:row>
    <x:row r="35" ht="36" hidden="0" customHeight="1">
      <x:c r="A35" s="13" t="str">
        <x:v>A03</x:v>
      </x:c>
      <x:c r="B35" s="13" t="str">
        <x:v>桌面翻盖总成</x:v>
      </x:c>
      <x:c r="C35" s="13" t="str">
        <x:v>装配</x:v>
      </x:c>
      <x:c r="D35" s="13" t="str">
        <x:v>A03</x:v>
      </x:c>
      <x:c r="E35" s="20" t="n">
        <x:v>4</x:v>
      </x:c>
      <x:c r="F35" s="13" t="str">
        <x:v>A03/正视/第4页</x:v>
      </x:c>
      <x:c r="G35" s="13" t="str">
        <x:v>A03/俯视/第4页</x:v>
      </x:c>
      <x:c r="H35" s="13" t="str">
        <x:v>A03/右视/第4页</x:v>
      </x:c>
      <x:c r="I35" s="13" t="str">
        <x:v>成型三视已绘；五金安装按实物配孔</x:v>
      </x:c>
      <x:c r="J35" s="13" t="str">
        <x:v>A01</x:v>
      </x:c>
      <x:c r="K35" s="13" t="str">
        <x:v>R01成品含封边；Ø10.9名义孔配合按样板；不得把护套Ø11.9法兰当通孔。底面12个φ2.5深10盲孔配H09木螺钉。</x:v>
      </x:c>
    </x:row>
    <x:row r="36" ht="36" hidden="0" customHeight="1">
      <x:c r="A36" s="14" t="str">
        <x:v>A05</x:v>
      </x:c>
      <x:c r="B36" s="14" t="str">
        <x:v>翻盖承托盒总成</x:v>
      </x:c>
      <x:c r="C36" s="14" t="str">
        <x:v>装配</x:v>
      </x:c>
      <x:c r="D36" s="14" t="str">
        <x:v>A05</x:v>
      </x:c>
      <x:c r="E36" s="19" t="n">
        <x:v>5</x:v>
      </x:c>
      <x:c r="F36" s="14" t="str">
        <x:v>A05/正视/第5页</x:v>
      </x:c>
      <x:c r="G36" s="14" t="str">
        <x:v>A05/俯视/第5页</x:v>
      </x:c>
      <x:c r="H36" s="14" t="str">
        <x:v>A05/右视/第5页</x:v>
      </x:c>
      <x:c r="I36" s="14" t="str">
        <x:v>成型三视已绘；五金安装按实物配孔</x:v>
      </x:c>
      <x:c r="J36" s="14" t="str">
        <x:v>A03</x:v>
      </x:c>
      <x:c r="K36" s="14" t="str">
        <x:v>盒材质原图未单独引线；R01选材。有孔端朝走线侧。</x:v>
      </x:c>
    </x:row>
    <x:row r="37" ht="36" hidden="0" customHeight="1">
      <x:c r="A37" s="13" t="str">
        <x:v>W01</x:v>
      </x:c>
      <x:c r="B37" s="13" t="str">
        <x:v>桌面主板</x:v>
      </x:c>
      <x:c r="C37" s="13" t="str">
        <x:v>木作</x:v>
      </x:c>
      <x:c r="D37" s="13" t="str">
        <x:v>W01</x:v>
      </x:c>
      <x:c r="E37" s="20" t="n">
        <x:v>6</x:v>
      </x:c>
      <x:c r="F37" s="13" t="str">
        <x:v>W01/正视/第6页</x:v>
      </x:c>
      <x:c r="G37" s="13" t="str">
        <x:v>W01/俯视/第6页</x:v>
      </x:c>
      <x:c r="H37" s="13" t="str">
        <x:v>W01/右视/第6页</x:v>
      </x:c>
      <x:c r="I37" s="13" t="str">
        <x:v>成型三视已绘；五金安装按实物配孔</x:v>
      </x:c>
      <x:c r="J37" s="13" t="str">
        <x:v>A03</x:v>
      </x:c>
      <x:c r="K37" s="13" t="str">
        <x:v>R01成品含封边；Ø10.9名义孔配合按样板；不得把护套Ø11.9法兰当通孔。底面12个φ2.5深10盲孔配H09木螺钉。</x:v>
      </x:c>
    </x:row>
    <x:row r="38" ht="36" hidden="0" customHeight="1">
      <x:c r="A38" s="14" t="str">
        <x:v>W02A</x:v>
      </x:c>
      <x:c r="B38" s="14" t="str">
        <x:v>桌面有槽翻盖板</x:v>
      </x:c>
      <x:c r="C38" s="14" t="str">
        <x:v>木作</x:v>
      </x:c>
      <x:c r="D38" s="14" t="str">
        <x:v>W02</x:v>
      </x:c>
      <x:c r="E38" s="19" t="n">
        <x:v>7</x:v>
      </x:c>
      <x:c r="F38" s="14" t="str">
        <x:v>W02/正视/第7页</x:v>
      </x:c>
      <x:c r="G38" s="14" t="str">
        <x:v>W02/俯视/第7页</x:v>
      </x:c>
      <x:c r="H38" s="14" t="str">
        <x:v>W02/右视/第7页</x:v>
      </x:c>
      <x:c r="I38" s="14" t="str">
        <x:v>成型三视已绘；五金安装按实物配孔</x:v>
      </x:c>
      <x:c r="J38" s="14" t="str">
        <x:v>A03</x:v>
      </x:c>
      <x:c r="K38" s="14" t="str">
        <x:v>源D 0x8469…0x846e；R01长度298；安装在开口Y低值侧，槽口朝中央毛刷。</x:v>
      </x:c>
    </x:row>
    <x:row r="39" ht="36" hidden="0" customHeight="1">
      <x:c r="A39" s="13" t="str">
        <x:v>W02B</x:v>
      </x:c>
      <x:c r="B39" s="13" t="str">
        <x:v>桌面实截面翻盖板</x:v>
      </x:c>
      <x:c r="C39" s="13" t="str">
        <x:v>木作</x:v>
      </x:c>
      <x:c r="D39" s="13" t="str">
        <x:v>W02</x:v>
      </x:c>
      <x:c r="E39" s="20" t="n">
        <x:v>7</x:v>
      </x:c>
      <x:c r="F39" s="13" t="str">
        <x:v>W02/正视/第7页</x:v>
      </x:c>
      <x:c r="G39" s="13" t="str">
        <x:v>W02/俯视/第7页</x:v>
      </x:c>
      <x:c r="H39" s="13" t="str">
        <x:v>W02/右视/第7页</x:v>
      </x:c>
      <x:c r="I39" s="13" t="str">
        <x:v>成型三视已绘；五金安装按实物配孔</x:v>
      </x:c>
      <x:c r="J39" s="13" t="str">
        <x:v>A03</x:v>
      </x:c>
      <x:c r="K39" s="13" t="str">
        <x:v>源D 0x8465…0x8468；R01长度298；安装在开口Y高值侧，不复制A盖让位槽。</x:v>
      </x:c>
    </x:row>
    <x:row r="40" ht="36" hidden="0" customHeight="1">
      <x:c r="A40" s="14" t="str">
        <x:v>W03</x:v>
      </x:c>
      <x:c r="B40" s="14" t="str">
        <x:v>承托盒长侧板</x:v>
      </x:c>
      <x:c r="C40" s="14" t="str">
        <x:v>木作</x:v>
      </x:c>
      <x:c r="D40" s="14" t="str">
        <x:v>W03</x:v>
      </x:c>
      <x:c r="E40" s="19" t="n">
        <x:v>8</x:v>
      </x:c>
      <x:c r="F40" s="14" t="str">
        <x:v>W03/正视/第8页</x:v>
      </x:c>
      <x:c r="G40" s="14" t="str">
        <x:v>W03/俯视/第8页</x:v>
      </x:c>
      <x:c r="H40" s="14" t="str">
        <x:v>W03/右视/第8页</x:v>
      </x:c>
      <x:c r="I40" s="14" t="str">
        <x:v>成型三视已绘；五金安装按实物配孔</x:v>
      </x:c>
      <x:c r="J40" s="14" t="str">
        <x:v>A05</x:v>
      </x:c>
      <x:c r="K40" s="14" t="str">
        <x:v>每盒2片；源330/300、230/200链推算T15，材质为R01选择。</x:v>
      </x:c>
    </x:row>
    <x:row r="41" ht="36" hidden="0" customHeight="1">
      <x:c r="A41" s="13" t="str">
        <x:v>W04A</x:v>
      </x:c>
      <x:c r="B41" s="13" t="str">
        <x:v>承托盒短侧板（有孔）</x:v>
      </x:c>
      <x:c r="C41" s="13" t="str">
        <x:v>木作</x:v>
      </x:c>
      <x:c r="D41" s="13" t="str">
        <x:v>W04</x:v>
      </x:c>
      <x:c r="E41" s="20" t="n">
        <x:v>9</x:v>
      </x:c>
      <x:c r="F41" s="13" t="str">
        <x:v>W04/正视/第9页</x:v>
      </x:c>
      <x:c r="G41" s="13" t="str">
        <x:v>W04/俯视/第9页</x:v>
      </x:c>
      <x:c r="H41" s="13" t="str">
        <x:v>W04/右视/第9页</x:v>
      </x:c>
      <x:c r="I41" s="13" t="str">
        <x:v>成型三视已绘；五金安装按实物配孔</x:v>
      </x:c>
      <x:c r="J41" s="13" t="str">
        <x:v>A05</x:v>
      </x:c>
      <x:c r="K41" s="13" t="str">
        <x:v>源0x84dd圆心/半径；每盒有孔端1件，朝接线通道。</x:v>
      </x:c>
    </x:row>
    <x:row r="42" ht="36" hidden="0" customHeight="1">
      <x:c r="A42" s="14" t="str">
        <x:v>W04B</x:v>
      </x:c>
      <x:c r="B42" s="14" t="str">
        <x:v>承托盒短侧板（实板）</x:v>
      </x:c>
      <x:c r="C42" s="14" t="str">
        <x:v>木作</x:v>
      </x:c>
      <x:c r="D42" s="14" t="str">
        <x:v>W04</x:v>
      </x:c>
      <x:c r="E42" s="19" t="n">
        <x:v>9</x:v>
      </x:c>
      <x:c r="F42" s="14" t="str">
        <x:v>W04/正视/第9页</x:v>
      </x:c>
      <x:c r="G42" s="14" t="str">
        <x:v>W04/俯视/第9页</x:v>
      </x:c>
      <x:c r="H42" s="14" t="str">
        <x:v>W04/右视/第9页</x:v>
      </x:c>
      <x:c r="I42" s="14" t="str">
        <x:v>成型三视已绘；五金安装按实物配孔</x:v>
      </x:c>
      <x:c r="J42" s="14" t="str">
        <x:v>A05</x:v>
      </x:c>
      <x:c r="K42" s="14" t="str">
        <x:v>R01另一端保留实板；不按未证实的对称关系增加过线孔。</x:v>
      </x:c>
    </x:row>
    <x:row r="43" ht="36" hidden="0" customHeight="1">
      <x:c r="A43" s="13" t="str">
        <x:v>W05</x:v>
      </x:c>
      <x:c r="B43" s="13" t="str">
        <x:v>承托盒底板</x:v>
      </x:c>
      <x:c r="C43" s="13" t="str">
        <x:v>木作</x:v>
      </x:c>
      <x:c r="D43" s="13" t="str">
        <x:v>W05</x:v>
      </x:c>
      <x:c r="E43" s="20" t="n">
        <x:v>10</x:v>
      </x:c>
      <x:c r="F43" s="13" t="str">
        <x:v>W05/正视/第10页</x:v>
      </x:c>
      <x:c r="G43" s="13" t="str">
        <x:v>W05/俯视/第10页</x:v>
      </x:c>
      <x:c r="H43" s="13" t="str">
        <x:v>W05/右视/第10页</x:v>
      </x:c>
      <x:c r="I43" s="13" t="str">
        <x:v>成型三视已绘；五金安装按实物配孔</x:v>
      </x:c>
      <x:c r="J43" s="13" t="str">
        <x:v>A05</x:v>
      </x:c>
      <x:c r="K43" s="13" t="str">
        <x:v>T5为源D节点实线归一结果；材质选用在R01声明。</x:v>
      </x:c>
    </x:row>
    <x:row r="44" ht="36" hidden="0" customHeight="1">
      <x:c r="A44" s="14" t="str">
        <x:v>S01</x:v>
      </x:c>
      <x:c r="B44" s="14" t="str">
        <x:v>长边斜腹板</x:v>
      </x:c>
      <x:c r="C44" s="14" t="str">
        <x:v>钣金</x:v>
      </x:c>
      <x:c r="D44" s="14" t="str">
        <x:v>S01</x:v>
      </x:c>
      <x:c r="E44" s="19" t="n">
        <x:v>11</x:v>
      </x:c>
      <x:c r="F44" s="14" t="str">
        <x:v>本页正视</x:v>
      </x:c>
      <x:c r="G44" s="14" t="str">
        <x:v>本页俯视</x:v>
      </x:c>
      <x:c r="H44" s="14" t="str">
        <x:v>本页右视</x:v>
      </x:c>
      <x:c r="I44" s="14" t="str">
        <x:v>成型控制；展开补偿按设备首件</x:v>
      </x:c>
      <x:c r="J44" s="14" t="str">
        <x:v>A04</x:v>
      </x:c>
      <x:c r="K44" s="14" t="str">
        <x:v>颜色、光泽、焊缝处理按样板；去毛刺、不得割手</x:v>
      </x:c>
    </x:row>
    <x:row r="45" ht="36" hidden="0" customHeight="1">
      <x:c r="A45" s="13" t="str">
        <x:v>S02</x:v>
      </x:c>
      <x:c r="B45" s="13" t="str">
        <x:v>短边斜腹板</x:v>
      </x:c>
      <x:c r="C45" s="13" t="str">
        <x:v>钣金</x:v>
      </x:c>
      <x:c r="D45" s="13" t="str">
        <x:v>S02</x:v>
      </x:c>
      <x:c r="E45" s="20" t="n">
        <x:v>12</x:v>
      </x:c>
      <x:c r="F45" s="13" t="str">
        <x:v>本页正视</x:v>
      </x:c>
      <x:c r="G45" s="13" t="str">
        <x:v>本页俯视</x:v>
      </x:c>
      <x:c r="H45" s="13" t="str">
        <x:v>本页右视</x:v>
      </x:c>
      <x:c r="I45" s="13" t="str">
        <x:v>成型控制；展开补偿按设备首件</x:v>
      </x:c>
      <x:c r="J45" s="13" t="str">
        <x:v>A04</x:v>
      </x:c>
      <x:c r="K45" s="13" t="str">
        <x:v>颜色、光泽、焊缝处理按样板；去毛刺、不得割手</x:v>
      </x:c>
    </x:row>
    <x:row r="46" ht="36" hidden="0" customHeight="1">
      <x:c r="A46" s="14" t="str">
        <x:v>A07</x:v>
      </x:c>
      <x:c r="B46" s="14" t="str">
        <x:v>刀形桌腿焊接总成</x:v>
      </x:c>
      <x:c r="C46" s="14" t="str">
        <x:v>装配</x:v>
      </x:c>
      <x:c r="D46" s="14" t="str">
        <x:v>A07</x:v>
      </x:c>
      <x:c r="E46" s="19" t="n">
        <x:v>13</x:v>
      </x:c>
      <x:c r="F46" s="14" t="str">
        <x:v>本页正视</x:v>
      </x:c>
      <x:c r="G46" s="14" t="str">
        <x:v>本页俯视</x:v>
      </x:c>
      <x:c r="H46" s="14" t="str">
        <x:v>本页右视</x:v>
      </x:c>
      <x:c r="I46" s="14" t="str">
        <x:v>R01分片与高度修正</x:v>
      </x:c>
      <x:c r="J46" s="14" t="str">
        <x:v>A04</x:v>
      </x:c>
      <x:c r="K46" s="14" t="str">
        <x:v>颜色、光泽、焊缝处理按样板；去毛刺、不得割手</x:v>
      </x:c>
    </x:row>
    <x:row r="47" ht="36" hidden="0" customHeight="1">
      <x:c r="A47" s="13" t="str">
        <x:v>S03A</x:v>
      </x:c>
      <x:c r="B47" s="13" t="str">
        <x:v>刀形腿开口壳</x:v>
      </x:c>
      <x:c r="C47" s="13" t="str">
        <x:v>钣金</x:v>
      </x:c>
      <x:c r="D47" s="13" t="str">
        <x:v>S03A</x:v>
      </x:c>
      <x:c r="E47" s="20" t="n">
        <x:v>14</x:v>
      </x:c>
      <x:c r="F47" s="13" t="str">
        <x:v>本页正视</x:v>
      </x:c>
      <x:c r="G47" s="13" t="str">
        <x:v>本页俯视</x:v>
      </x:c>
      <x:c r="H47" s="13" t="str">
        <x:v>本页右视</x:v>
      </x:c>
      <x:c r="I47" s="13" t="str">
        <x:v>成型控制；首件顶口放样</x:v>
      </x:c>
      <x:c r="J47" s="13" t="str">
        <x:v>A07</x:v>
      </x:c>
      <x:c r="K47" s="13" t="str">
        <x:v>颜色、光泽、焊缝处理按样板；去毛刺、不得割手</x:v>
      </x:c>
    </x:row>
    <x:row r="48" ht="36" hidden="0" customHeight="1">
      <x:c r="A48" s="14" t="str">
        <x:v>S03B</x:v>
      </x:c>
      <x:c r="B48" s="14" t="str">
        <x:v>刀形腿内端封板</x:v>
      </x:c>
      <x:c r="C48" s="14" t="str">
        <x:v>钣金</x:v>
      </x:c>
      <x:c r="D48" s="14" t="str">
        <x:v>S03BC</x:v>
      </x:c>
      <x:c r="E48" s="19" t="n">
        <x:v>15</x:v>
      </x:c>
      <x:c r="F48" s="14" t="str">
        <x:v>本页正视</x:v>
      </x:c>
      <x:c r="G48" s="14" t="str">
        <x:v>本页俯视</x:v>
      </x:c>
      <x:c r="H48" s="14" t="str">
        <x:v>本页右视</x:v>
      </x:c>
      <x:c r="I48" s="14" t="str">
        <x:v>成型控制；展开补偿按设备首件</x:v>
      </x:c>
      <x:c r="J48" s="14" t="str">
        <x:v>A07</x:v>
      </x:c>
      <x:c r="K48" s="14" t="str">
        <x:v>颜色、光泽、焊缝处理按样板；去毛刺、不得割手</x:v>
      </x:c>
    </x:row>
    <x:row r="49" ht="36" hidden="0" customHeight="1">
      <x:c r="A49" s="13" t="str">
        <x:v>S03C</x:v>
      </x:c>
      <x:c r="B49" s="13" t="str">
        <x:v>刀形腿底封板</x:v>
      </x:c>
      <x:c r="C49" s="13" t="str">
        <x:v>钣金</x:v>
      </x:c>
      <x:c r="D49" s="13" t="str">
        <x:v>S03BC</x:v>
      </x:c>
      <x:c r="E49" s="20" t="n">
        <x:v>15</x:v>
      </x:c>
      <x:c r="F49" s="13" t="str">
        <x:v>本页正视</x:v>
      </x:c>
      <x:c r="G49" s="13" t="str">
        <x:v>本页俯视</x:v>
      </x:c>
      <x:c r="H49" s="13" t="str">
        <x:v>本页右视</x:v>
      </x:c>
      <x:c r="I49" s="13" t="str">
        <x:v>配切件；按首件成型内腔</x:v>
      </x:c>
      <x:c r="J49" s="13" t="str">
        <x:v>A07</x:v>
      </x:c>
      <x:c r="K49" s="13" t="str">
        <x:v>颜色、光泽、焊缝处理按样板；去毛刺、不得割手</x:v>
      </x:c>
    </x:row>
    <x:row r="50" ht="36" hidden="0" customHeight="1">
      <x:c r="A50" s="14" t="str">
        <x:v>S04</x:v>
      </x:c>
      <x:c r="B50" s="14" t="str">
        <x:v>桌肚四边折边底盘</x:v>
      </x:c>
      <x:c r="C50" s="14" t="str">
        <x:v>钣金</x:v>
      </x:c>
      <x:c r="D50" s="14" t="str">
        <x:v>S04</x:v>
      </x:c>
      <x:c r="E50" s="19" t="n">
        <x:v>16</x:v>
      </x:c>
      <x:c r="F50" s="14" t="str">
        <x:v>本页正视</x:v>
      </x:c>
      <x:c r="G50" s="14" t="str">
        <x:v>本页俯视</x:v>
      </x:c>
      <x:c r="H50" s="14" t="str">
        <x:v>本页右视</x:v>
      </x:c>
      <x:c r="I50" s="14" t="str">
        <x:v>R01接口闭合；展开按实际折弯补偿</x:v>
      </x:c>
      <x:c r="J50" s="14" t="str">
        <x:v>A04</x:v>
      </x:c>
      <x:c r="K50" s="14" t="str">
        <x:v>颜色、光泽、焊缝处理按样板；去毛刺、不得割手</x:v>
      </x:c>
    </x:row>
    <x:row r="51" ht="36" hidden="0" customHeight="1">
      <x:c r="A51" s="13" t="str">
        <x:v>S07</x:v>
      </x:c>
      <x:c r="B51" s="13" t="str">
        <x:v>桌肚检修门</x:v>
      </x:c>
      <x:c r="C51" s="13" t="str">
        <x:v>钣金</x:v>
      </x:c>
      <x:c r="D51" s="13" t="str">
        <x:v>S07</x:v>
      </x:c>
      <x:c r="E51" s="20" t="n">
        <x:v>17</x:v>
      </x:c>
      <x:c r="F51" s="13" t="str">
        <x:v>本页正视</x:v>
      </x:c>
      <x:c r="G51" s="13" t="str">
        <x:v>本页俯视</x:v>
      </x:c>
      <x:c r="H51" s="13" t="str">
        <x:v>本页右视</x:v>
      </x:c>
      <x:c r="I51" s="13" t="str">
        <x:v>成型已定；五金孔形按到货件配钻</x:v>
      </x:c>
      <x:c r="J51" s="13" t="str">
        <x:v>A04</x:v>
      </x:c>
      <x:c r="K51" s="13" t="str">
        <x:v>颜色、光泽、焊缝处理按样板；去毛刺、不得割手</x:v>
      </x:c>
    </x:row>
    <x:row r="52" ht="36" hidden="0" customHeight="1">
      <x:c r="A52" s="14" t="str">
        <x:v>S05</x:v>
      </x:c>
      <x:c r="B52" s="14" t="str">
        <x:v>长向C型加强筋</x:v>
      </x:c>
      <x:c r="C52" s="14" t="str">
        <x:v>钣金制造件</x:v>
      </x:c>
      <x:c r="D52" s="14" t="str">
        <x:v>S05</x:v>
      </x:c>
      <x:c r="E52" s="19" t="n">
        <x:v>18</x:v>
      </x:c>
      <x:c r="F52" s="14" t="str">
        <x:v>S05 正视图</x:v>
      </x:c>
      <x:c r="G52" s="14" t="str">
        <x:v>S05 俯视图</x:v>
      </x:c>
      <x:c r="H52" s="14" t="str">
        <x:v>S05 右视图</x:v>
      </x:c>
      <x:c r="I52" s="14" t="str">
        <x:v>成型已绘；工艺试制待核</x:v>
      </x:c>
      <x:c r="J52" s="14" t="str">
        <x:v>A04</x:v>
      </x:c>
      <x:c r="K52" s="14" t="str">
        <x:v>每桌2根；唇边13，C口相向；净430/外跨490。端接口、折弯补偿与焊接收缩未放行。</x:v>
      </x:c>
    </x:row>
    <x:row r="53" ht="36" hidden="0" customHeight="1">
      <x:c r="A53" s="13" t="str">
        <x:v>S06</x:v>
      </x:c>
      <x:c r="B53" s="13" t="str">
        <x:v>U型卡槽</x:v>
      </x:c>
      <x:c r="C53" s="13" t="str">
        <x:v>钣金制造件</x:v>
      </x:c>
      <x:c r="D53" s="13" t="str">
        <x:v>S06</x:v>
      </x:c>
      <x:c r="E53" s="20" t="n">
        <x:v>19</x:v>
      </x:c>
      <x:c r="F53" s="13" t="str">
        <x:v>S06 正视图</x:v>
      </x:c>
      <x:c r="G53" s="13" t="str">
        <x:v>S06 俯视图</x:v>
      </x:c>
      <x:c r="H53" s="13" t="str">
        <x:v>S06 右视图</x:v>
      </x:c>
      <x:c r="I53" s="13" t="str">
        <x:v>成型已绘；工艺试制待核</x:v>
      </x:c>
      <x:c r="J53" s="13" t="str">
        <x:v>A04</x:v>
      </x:c>
      <x:c r="K53" s="13" t="str">
        <x:v>底宽不含外翻唇；中心(315.5,595)/(1674.5,595)，相距1359；先试卡，展开补偿待核。</x:v>
      </x:c>
    </x:row>
    <x:row r="54" ht="36" hidden="0" customHeight="1">
      <x:c r="A54" s="14" t="str">
        <x:v>A06</x:v>
      </x:c>
      <x:c r="B54" s="14" t="str">
        <x:v>小孔过线护口组件</x:v>
      </x:c>
      <x:c r="C54" s="14" t="str">
        <x:v>装配</x:v>
      </x:c>
      <x:c r="D54" s="14" t="str">
        <x:v>A06</x:v>
      </x:c>
      <x:c r="E54" s="19" t="n">
        <x:v>20</x:v>
      </x:c>
      <x:c r="F54" s="14" t="str">
        <x:v>A06/正视图</x:v>
      </x:c>
      <x:c r="G54" s="14" t="str">
        <x:v>A06/俯视图</x:v>
      </x:c>
      <x:c r="H54" s="14" t="str">
        <x:v>A06/右视图</x:v>
      </x:c>
      <x:c r="I54" s="14" t="str">
        <x:v>装配关系完成</x:v>
      </x:c>
      <x:c r="J54" s="14" t="str">
        <x:v>A03</x:v>
      </x:c>
      <x:c r="K54" s="14" t="str">
        <x:v>装配行仅统计覆盖；材料数量计入M01/M02/M03</x:v>
      </x:c>
    </x:row>
    <x:row r="55" ht="36" hidden="0" customHeight="1">
      <x:c r="A55" s="13" t="str">
        <x:v>M01</x:v>
      </x:c>
      <x:c r="B55" s="13" t="str">
        <x:v>304过线外护套</x:v>
      </x:c>
      <x:c r="C55" s="13" t="str">
        <x:v>机加工</x:v>
      </x:c>
      <x:c r="D55" s="13" t="str">
        <x:v>M01</x:v>
      </x:c>
      <x:c r="E55" s="20" t="n">
        <x:v>21</x:v>
      </x:c>
      <x:c r="F55" s="13" t="str">
        <x:v>M01/正视图</x:v>
      </x:c>
      <x:c r="G55" s="13" t="str">
        <x:v>M01/俯视图</x:v>
      </x:c>
      <x:c r="H55" s="13" t="str">
        <x:v>M01/右视图</x:v>
      </x:c>
      <x:c r="I55" s="13" t="str">
        <x:v>完成</x:v>
      </x:c>
      <x:c r="J55" s="13" t="str">
        <x:v>A06</x:v>
      </x:c>
      <x:c r="K55" s="13" t="str">
        <x:v>源G01；下外R0.3、内R0.15；配合公差参照样板</x:v>
      </x:c>
    </x:row>
    <x:row r="56" ht="36" hidden="0" customHeight="1">
      <x:c r="A56" s="14" t="str">
        <x:v>M02</x:v>
      </x:c>
      <x:c r="B56" s="14" t="str">
        <x:v>304过线内盖</x:v>
      </x:c>
      <x:c r="C56" s="14" t="str">
        <x:v>机加工</x:v>
      </x:c>
      <x:c r="D56" s="14" t="str">
        <x:v>M02</x:v>
      </x:c>
      <x:c r="E56" s="19" t="n">
        <x:v>22</x:v>
      </x:c>
      <x:c r="F56" s="14" t="str">
        <x:v>M02/正视图</x:v>
      </x:c>
      <x:c r="G56" s="14" t="str">
        <x:v>M02/俯视图</x:v>
      </x:c>
      <x:c r="H56" s="14" t="str">
        <x:v>M02/右视图</x:v>
      </x:c>
      <x:c r="I56" s="14" t="str">
        <x:v>完成</x:v>
      </x:c>
      <x:c r="J56" s="14" t="str">
        <x:v>A06</x:v>
      </x:c>
      <x:c r="K56" s="14" t="str">
        <x:v>源G02；顶面光滑无刀痕；与M01成套适配</x:v>
      </x:c>
    </x:row>
    <x:row r="57" ht="36" hidden="0" customHeight="1">
      <x:c r="A57" s="13" t="str">
        <x:v>M03</x:v>
      </x:c>
      <x:c r="B57" s="13" t="str">
        <x:v>内盖镀锌内贴片</x:v>
      </x:c>
      <x:c r="C57" s="13" t="str">
        <x:v>金属平板</x:v>
      </x:c>
      <x:c r="D57" s="13" t="str">
        <x:v>M03</x:v>
      </x:c>
      <x:c r="E57" s="20" t="n">
        <x:v>23</x:v>
      </x:c>
      <x:c r="F57" s="13" t="str">
        <x:v>M03/正视图</x:v>
      </x:c>
      <x:c r="G57" s="13" t="str">
        <x:v>M03/俯视图</x:v>
      </x:c>
      <x:c r="H57" s="13" t="str">
        <x:v>M03/右视图</x:v>
      </x:c>
      <x:c r="I57" s="13" t="str">
        <x:v>完成</x:v>
      </x:c>
      <x:c r="J57" s="13" t="str">
        <x:v>A06</x:v>
      </x:c>
      <x:c r="K57" s="13" t="str">
        <x:v>源G03；每M02一片，共10片，居中贴于盲孔顶壁</x:v>
      </x:c>
    </x:row>
    <x:row r="58" ht="36" hidden="0" customHeight="1">
      <x:c r="A58" s="14" t="str">
        <x:v>E01</x:v>
      </x:c>
      <x:c r="B58" s="14" t="str">
        <x:v>桌面三位五孔+3USB排插</x:v>
      </x:c>
      <x:c r="C58" s="14" t="str">
        <x:v>电气采购</x:v>
      </x:c>
      <x:c r="D58" s="14" t="str">
        <x:v>E01</x:v>
      </x:c>
      <x:c r="E58" s="19" t="n">
        <x:v>24</x:v>
      </x:c>
      <x:c r="F58" s="14" t="str">
        <x:v>E01/安装正视投影</x:v>
      </x:c>
      <x:c r="G58" s="14" t="str">
        <x:v>E01/安装俯视投影</x:v>
      </x:c>
      <x:c r="H58" s="14" t="str">
        <x:v>E01/安装右视投影</x:v>
      </x:c>
      <x:c r="I58" s="14" t="str">
        <x:v>规格数量已定；型号/安装孔按到货模板</x:v>
      </x:c>
      <x:c r="J58" s="14" t="str">
        <x:v>A03</x:v>
      </x:c>
      <x:c r="K58" s="14" t="str">
        <x:v>核对300×200盒内净空、翻盖运动及孔位；不预设电流/功率</x:v>
      </x:c>
    </x:row>
    <x:row r="59" ht="36" hidden="0" customHeight="1">
      <x:c r="A59" s="13" t="str">
        <x:v>E02</x:v>
      </x:c>
      <x:c r="B59" s="13" t="str">
        <x:v>桌肚八位五孔排插</x:v>
      </x:c>
      <x:c r="C59" s="13" t="str">
        <x:v>电气采购</x:v>
      </x:c>
      <x:c r="D59" s="13" t="str">
        <x:v>E01</x:v>
      </x:c>
      <x:c r="E59" s="20" t="n">
        <x:v>24</x:v>
      </x:c>
      <x:c r="F59" s="13" t="str">
        <x:v>E01/安装正视投影</x:v>
      </x:c>
      <x:c r="G59" s="13" t="str">
        <x:v>E01/安装俯视投影</x:v>
      </x:c>
      <x:c r="H59" s="13" t="str">
        <x:v>E01/安装右视投影</x:v>
      </x:c>
      <x:c r="I59" s="13" t="str">
        <x:v>规格数量已定；型号/安装孔按到货模板</x:v>
      </x:c>
      <x:c r="J59" s="13" t="str">
        <x:v>A04</x:v>
      </x:c>
      <x:c r="K59" s="13" t="str">
        <x:v>配H05固定器；活动线缆留余量，避让锁舌和铰链</x:v>
      </x:c>
    </x:row>
    <x:row r="60" ht="36" hidden="0" customHeight="1">
      <x:c r="A60" s="14" t="str">
        <x:v>E03</x:v>
      </x:c>
      <x:c r="B60" s="14" t="str">
        <x:v>明装安全五孔插座</x:v>
      </x:c>
      <x:c r="C60" s="14" t="str">
        <x:v>电气采购</x:v>
      </x:c>
      <x:c r="D60" s="14" t="str">
        <x:v>E01</x:v>
      </x:c>
      <x:c r="E60" s="19" t="n">
        <x:v>24</x:v>
      </x:c>
      <x:c r="F60" s="14" t="str">
        <x:v>E01/安装正视投影</x:v>
      </x:c>
      <x:c r="G60" s="14" t="str">
        <x:v>E01/安装俯视投影</x:v>
      </x:c>
      <x:c r="H60" s="14" t="str">
        <x:v>E01/安装右视投影</x:v>
      </x:c>
      <x:c r="I60" s="14" t="str">
        <x:v>规格数量已定；型号/安装孔按到货模板</x:v>
      </x:c>
      <x:c r="J60" s="14" t="str">
        <x:v>A04</x:v>
      </x:c>
      <x:c r="K60" s="14" t="str">
        <x:v>R01安装区X280/Y450；设备外廓和固定孔按选型</x:v>
      </x:c>
    </x:row>
    <x:row r="61" ht="36" hidden="0" customHeight="1">
      <x:c r="A61" s="13" t="str">
        <x:v>E04</x:v>
      </x:c>
      <x:c r="B61" s="13" t="str">
        <x:v>3芯电源线束</x:v>
      </x:c>
      <x:c r="C61" s="13" t="str">
        <x:v>电气辅材</x:v>
      </x:c>
      <x:c r="D61" s="13" t="str">
        <x:v>E01</x:v>
      </x:c>
      <x:c r="E61" s="20" t="n">
        <x:v>24</x:v>
      </x:c>
      <x:c r="F61" s="13" t="str">
        <x:v>E01/安装正视投影</x:v>
      </x:c>
      <x:c r="G61" s="13" t="str">
        <x:v>E01/安装俯视投影</x:v>
      </x:c>
      <x:c r="H61" s="13" t="str">
        <x:v>E01/安装右视投影</x:v>
      </x:c>
      <x:c r="I61" s="13" t="str">
        <x:v>长度按实配，未填估算值</x:v>
      </x:c>
      <x:c r="J61" s="13" t="str">
        <x:v>A01</x:v>
      </x:c>
      <x:c r="K61" s="13" t="str">
        <x:v>长度按实配且不填0；前左腿出线，活动段留检修余量</x:v>
      </x:c>
    </x:row>
    <x:row r="62" ht="36" hidden="0" customHeight="1">
      <x:c r="A62" s="14" t="str">
        <x:v>E05</x:v>
      </x:c>
      <x:c r="B62" s="14" t="str">
        <x:v>桌肚过线保护铁管</x:v>
      </x:c>
      <x:c r="C62" s="14" t="str">
        <x:v>电气辅材</x:v>
      </x:c>
      <x:c r="D62" s="14" t="str">
        <x:v>E01</x:v>
      </x:c>
      <x:c r="E62" s="19" t="n">
        <x:v>24</x:v>
      </x:c>
      <x:c r="F62" s="14" t="str">
        <x:v>E01/安装正视投影</x:v>
      </x:c>
      <x:c r="G62" s="14" t="str">
        <x:v>E01/安装俯视投影</x:v>
      </x:c>
      <x:c r="H62" s="14" t="str">
        <x:v>E01/安装右视投影</x:v>
      </x:c>
      <x:c r="I62" s="14" t="str">
        <x:v>长度按实配，未填估算值</x:v>
      </x:c>
      <x:c r="J62" s="14" t="str">
        <x:v>A04</x:v>
      </x:c>
      <x:c r="K62" s="14" t="str">
        <x:v>R01调整：净约24.7刀形腔及34×14底孔不能容纳≥25管，腿内改线缆加绝缘/夹持，首件核实</x:v>
      </x:c>
    </x:row>
    <x:row r="63" ht="36" hidden="0" customHeight="1">
      <x:c r="A63" s="13" t="str">
        <x:v>E06</x:v>
      </x:c>
      <x:c r="B63" s="13" t="str">
        <x:v>接线端子与黄腊管配套</x:v>
      </x:c>
      <x:c r="C63" s="13" t="str">
        <x:v>电气辅材</x:v>
      </x:c>
      <x:c r="D63" s="13" t="str">
        <x:v>E01</x:v>
      </x:c>
      <x:c r="E63" s="20" t="n">
        <x:v>24</x:v>
      </x:c>
      <x:c r="F63" s="13" t="str">
        <x:v>E01/安装正视投影</x:v>
      </x:c>
      <x:c r="G63" s="13" t="str">
        <x:v>E01/安装俯视投影</x:v>
      </x:c>
      <x:c r="H63" s="13" t="str">
        <x:v>E01/安装右视投影</x:v>
      </x:c>
      <x:c r="I63" s="13" t="str">
        <x:v>规格数量已定；型号/安装孔按到货模板</x:v>
      </x:c>
      <x:c r="J63" s="13" t="str">
        <x:v>A01</x:v>
      </x:c>
      <x:c r="K63" s="13" t="str">
        <x:v>不得裸接；数量按系统连接点配齐，辅材长度按实配</x:v>
      </x:c>
    </x:row>
    <x:row r="64" ht="36" hidden="0" customHeight="1">
      <x:c r="A64" s="14" t="str">
        <x:v>H01</x:v>
      </x:c>
      <x:c r="B64" s="14" t="str">
        <x:v>M8黑色橡胶调节脚</x:v>
      </x:c>
      <x:c r="C64" s="14" t="str">
        <x:v>外购五金</x:v>
      </x:c>
      <x:c r="D64" s="14" t="str">
        <x:v>H01</x:v>
      </x:c>
      <x:c r="E64" s="19" t="n">
        <x:v>25</x:v>
      </x:c>
      <x:c r="F64" s="14" t="str">
        <x:v>A07/S03BC/正视及安装接口；型号选配详H01</x:v>
      </x:c>
      <x:c r="G64" s="14" t="str">
        <x:v>A07/S03BC/俯视及安装接口；型号选配详H01</x:v>
      </x:c>
      <x:c r="H64" s="14" t="str">
        <x:v>A07/S03BC/右视及安装接口；型号选配详H01</x:v>
      </x:c>
      <x:c r="I64" s="14" t="str">
        <x:v>规格数量已定；型号/安装孔按到货模板</x:v>
      </x:c>
      <x:c r="J64" s="14" t="str">
        <x:v>A07</x:v>
      </x:c>
      <x:c r="K64" s="14" t="str">
        <x:v>每腿2只，共8；高度验收设外露5，底封板孔见S03BC</x:v>
      </x:c>
    </x:row>
    <x:row r="65" ht="36" hidden="0" customHeight="1">
      <x:c r="A65" s="13" t="str">
        <x:v>H02</x:v>
      </x:c>
      <x:c r="B65" s="13" t="str">
        <x:v>M8焊接螺母</x:v>
      </x:c>
      <x:c r="C65" s="13" t="str">
        <x:v>外购五金</x:v>
      </x:c>
      <x:c r="D65" s="13" t="str">
        <x:v>H01</x:v>
      </x:c>
      <x:c r="E65" s="20" t="n">
        <x:v>25</x:v>
      </x:c>
      <x:c r="F65" s="13" t="str">
        <x:v>A07/S03BC/正视及安装接口；型号选配详H01</x:v>
      </x:c>
      <x:c r="G65" s="13" t="str">
        <x:v>A07/S03BC/俯视及安装接口；型号选配详H01</x:v>
      </x:c>
      <x:c r="H65" s="13" t="str">
        <x:v>A07/S03BC/右视及安装接口；型号选配详H01</x:v>
      </x:c>
      <x:c r="I65" s="13" t="str">
        <x:v>规格数量已定；型号/安装孔按到货模板</x:v>
      </x:c>
      <x:c r="J65" s="13" t="str">
        <x:v>A07</x:v>
      </x:c>
      <x:c r="K65" s="13" t="str">
        <x:v>每腿2只，焊渣不得堵螺纹；和H01先试装</x:v>
      </x:c>
    </x:row>
    <x:row r="66" ht="36" hidden="0" customHeight="1">
      <x:c r="A66" s="14" t="str">
        <x:v>H03</x:v>
      </x:c>
      <x:c r="B66" s="14" t="str">
        <x:v>检修门铰链</x:v>
      </x:c>
      <x:c r="C66" s="14" t="str">
        <x:v>外购五金</x:v>
      </x:c>
      <x:c r="D66" s="14" t="str">
        <x:v>H01</x:v>
      </x:c>
      <x:c r="E66" s="19" t="n">
        <x:v>25</x:v>
      </x:c>
      <x:c r="F66" s="14" t="str">
        <x:v>S07/正视及安装接口；型号选配详H01</x:v>
      </x:c>
      <x:c r="G66" s="14" t="str">
        <x:v>S07/俯视及安装接口；型号选配详H01</x:v>
      </x:c>
      <x:c r="H66" s="14" t="str">
        <x:v>S07/右视及安装接口；型号选配详H01</x:v>
      </x:c>
      <x:c r="I66" s="14" t="str">
        <x:v>规格数量已定；型号/安装孔按到货模板</x:v>
      </x:c>
      <x:c r="J66" s="14" t="str">
        <x:v>S07</x:v>
      </x:c>
      <x:c r="K66" s="14" t="str">
        <x:v>S07局部u=200/794.8，v=0；不得照符号钻孔</x:v>
      </x:c>
    </x:row>
    <x:row r="67" ht="36" hidden="0" customHeight="1">
      <x:c r="A67" s="13" t="str">
        <x:v>H04</x:v>
      </x:c>
      <x:c r="B67" s="13" t="str">
        <x:v>无钥匙一字旋钮锁</x:v>
      </x:c>
      <x:c r="C67" s="13" t="str">
        <x:v>外购五金</x:v>
      </x:c>
      <x:c r="D67" s="13" t="str">
        <x:v>H01</x:v>
      </x:c>
      <x:c r="E67" s="20" t="n">
        <x:v>25</x:v>
      </x:c>
      <x:c r="F67" s="13" t="str">
        <x:v>S07/正视及安装接口；型号选配详H01</x:v>
      </x:c>
      <x:c r="G67" s="13" t="str">
        <x:v>S07/俯视及安装接口；型号选配详H01</x:v>
      </x:c>
      <x:c r="H67" s="13" t="str">
        <x:v>S07/右视及安装接口；型号选配详H01</x:v>
      </x:c>
      <x:c r="I67" s="13" t="str">
        <x:v>规格数量已定；型号/安装孔按到货模板</x:v>
      </x:c>
      <x:c r="J67" s="13" t="str">
        <x:v>S07</x:v>
      </x:c>
      <x:c r="K67" s="13" t="str">
        <x:v>S07锁中心u=497.4，v=134.8；核对锁舌行程</x:v>
      </x:c>
    </x:row>
    <x:row r="68" ht="36" hidden="0" customHeight="1">
      <x:c r="A68" s="14" t="str">
        <x:v>H05</x:v>
      </x:c>
      <x:c r="B68" s="14" t="str">
        <x:v>八位排插粘贴固定器</x:v>
      </x:c>
      <x:c r="C68" s="14" t="str">
        <x:v>外购五金</x:v>
      </x:c>
      <x:c r="D68" s="14" t="str">
        <x:v>H01</x:v>
      </x:c>
      <x:c r="E68" s="19" t="n">
        <x:v>25</x:v>
      </x:c>
      <x:c r="F68" s="14" t="str">
        <x:v>S07/E01/正视及安装接口；型号选配详H01</x:v>
      </x:c>
      <x:c r="G68" s="14" t="str">
        <x:v>S07/E01/俯视及安装接口；型号选配详H01</x:v>
      </x:c>
      <x:c r="H68" s="14" t="str">
        <x:v>S07/E01/右视及安装接口；型号选配详H01</x:v>
      </x:c>
      <x:c r="I68" s="14" t="str">
        <x:v>规格数量已定；型号/安装孔按到货模板</x:v>
      </x:c>
      <x:c r="J68" s="14" t="str">
        <x:v>S07</x:v>
      </x:c>
      <x:c r="K68" s="14" t="str">
        <x:v>清洁粘贴面；避开锁舌，先做门启闭和保持力检查</x:v>
      </x:c>
    </x:row>
    <x:row r="69" ht="36" hidden="0" customHeight="1">
      <x:c r="A69" s="13" t="str">
        <x:v>H06</x:v>
      </x:c>
      <x:c r="B69" s="13" t="str">
        <x:v>白色过线护口</x:v>
      </x:c>
      <x:c r="C69" s="13" t="str">
        <x:v>外购五金</x:v>
      </x:c>
      <x:c r="D69" s="13" t="str">
        <x:v>H01</x:v>
      </x:c>
      <x:c r="E69" s="20" t="n">
        <x:v>25</x:v>
      </x:c>
      <x:c r="F69" s="13" t="str">
        <x:v>A05/W04/正视及安装接口；型号选配详H01</x:v>
      </x:c>
      <x:c r="G69" s="13" t="str">
        <x:v>A05/W04/俯视及安装接口；型号选配详H01</x:v>
      </x:c>
      <x:c r="H69" s="13" t="str">
        <x:v>A05/W04/右视及安装接口；型号选配详H01</x:v>
      </x:c>
      <x:c r="I69" s="13" t="str">
        <x:v>规格数量已定；型号/安装孔按到货模板</x:v>
      </x:c>
      <x:c r="J69" s="13" t="str">
        <x:v>A05</x:v>
      </x:c>
      <x:c r="K69" s="13" t="str">
        <x:v>每盒1处；板面200×91，孔心(100,51)，总成见A05</x:v>
      </x:c>
    </x:row>
    <x:row r="70" ht="36" hidden="0" customHeight="1">
      <x:c r="A70" s="14" t="str">
        <x:v>H07</x:v>
      </x:c>
      <x:c r="B70" s="14" t="str">
        <x:v>翻盖铰接配套件</x:v>
      </x:c>
      <x:c r="C70" s="14" t="str">
        <x:v>外购五金</x:v>
      </x:c>
      <x:c r="D70" s="14" t="str">
        <x:v>H01</x:v>
      </x:c>
      <x:c r="E70" s="19" t="n">
        <x:v>25</x:v>
      </x:c>
      <x:c r="F70" s="14" t="str">
        <x:v>A03/W02/正视及安装接口；型号选配详H01</x:v>
      </x:c>
      <x:c r="G70" s="14" t="str">
        <x:v>A03/W02/俯视及安装接口；型号选配详H01</x:v>
      </x:c>
      <x:c r="H70" s="14" t="str">
        <x:v>A03/W02/右视及安装接口；型号选配详H01</x:v>
      </x:c>
      <x:c r="I70" s="14" t="str">
        <x:v>规格数量已定；型号/安装孔按到货模板</x:v>
      </x:c>
      <x:c r="J70" s="14" t="str">
        <x:v>A03</x:v>
      </x:c>
      <x:c r="K70" s="14" t="str">
        <x:v>W02A/W02B各2片；型号和单套组成按样板，不填虚构孔距</x:v>
      </x:c>
    </x:row>
    <x:row r="71" ht="36" hidden="0" customHeight="1">
      <x:c r="A71" s="13" t="str">
        <x:v>H08</x:v>
      </x:c>
      <x:c r="B71" s="13" t="str">
        <x:v>出线护口、限位及夹持件</x:v>
      </x:c>
      <x:c r="C71" s="13" t="str">
        <x:v>外购五金</x:v>
      </x:c>
      <x:c r="D71" s="13" t="str">
        <x:v>H01</x:v>
      </x:c>
      <x:c r="E71" s="20" t="n">
        <x:v>25</x:v>
      </x:c>
      <x:c r="F71" s="13" t="str">
        <x:v>A07/S03BC/正视及安装接口；型号选配详H01</x:v>
      </x:c>
      <x:c r="G71" s="13" t="str">
        <x:v>A07/S03BC/俯视及安装接口；型号选配详H01</x:v>
      </x:c>
      <x:c r="H71" s="13" t="str">
        <x:v>A07/S03BC/右视及安装接口；型号选配详H01</x:v>
      </x:c>
      <x:c r="I71" s="13" t="str">
        <x:v>规格数量已定；型号/安装孔按到货模板</x:v>
      </x:c>
      <x:c r="J71" s="13" t="str">
        <x:v>A07</x:v>
      </x:c>
      <x:c r="K71" s="13" t="str">
        <x:v>R01单腿出线；腿内加绝缘保护，末端线缆单独引出</x:v>
      </x:c>
    </x:row>
    <x:row r="72" ht="36" hidden="0" customHeight="1">
      <x:c r="A72" s="14" t="str">
        <x:v>H09</x:v>
      </x:c>
      <x:c r="B72" s="14" t="str">
        <x:v>桌面木螺钉</x:v>
      </x:c>
      <x:c r="C72" s="14" t="str">
        <x:v>外购五金</x:v>
      </x:c>
      <x:c r="D72" s="14" t="str">
        <x:v>H01</x:v>
      </x:c>
      <x:c r="E72" s="19" t="n">
        <x:v>25</x:v>
      </x:c>
      <x:c r="F72" s="14" t="str">
        <x:v>S01/S02/A03/正视及安装接口；型号选配详H01</x:v>
      </x:c>
      <x:c r="G72" s="14" t="str">
        <x:v>S01/S02/A03/俯视及安装接口；型号选配详H01</x:v>
      </x:c>
      <x:c r="H72" s="14" t="str">
        <x:v>S01/S02/A03/右视及安装接口；型号选配详H01</x:v>
      </x:c>
      <x:c r="I72" s="14" t="str">
        <x:v>规格数量已定；型号/安装孔按到货模板</x:v>
      </x:c>
      <x:c r="J72" s="14" t="str">
        <x:v>A03</x:v>
      </x:c>
      <x:c r="K72" s="14" t="str">
        <x:v>长边X400/1000/1600,Y30/1170；短边X30/1970,Y300/600/900</x:v>
      </x:c>
    </x:row>
    <x:row r="73" ht="36" hidden="0" customHeight="1">
      <x:c r="A73" s="13" t="str">
        <x:v>B01</x:v>
      </x:c>
      <x:c r="B73" s="13" t="str">
        <x:v>贯通毛刷组件</x:v>
      </x:c>
      <x:c r="C73" s="13" t="str">
        <x:v>毛刷配套</x:v>
      </x:c>
      <x:c r="D73" s="13" t="str">
        <x:v>H01</x:v>
      </x:c>
      <x:c r="E73" s="20" t="n">
        <x:v>25</x:v>
      </x:c>
      <x:c r="F73" s="13" t="str">
        <x:v>A03/W01/正视及安装接口；型号选配详H01</x:v>
      </x:c>
      <x:c r="G73" s="13" t="str">
        <x:v>A03/W01/俯视及安装接口；型号选配详H01</x:v>
      </x:c>
      <x:c r="H73" s="13" t="str">
        <x:v>A03/W01/右视及安装接口；型号选配详H01</x:v>
      </x:c>
      <x:c r="I73" s="13" t="str">
        <x:v>规格数量已定；型号/安装孔按到货模板</x:v>
      </x:c>
      <x:c r="J73" s="13" t="str">
        <x:v>A03</x:v>
      </x:c>
      <x:c r="K73" s="13" t="str">
        <x:v>含翻盖区域毛刷，总覆盖长1420不重复领料；刷顶齐台面</x:v>
      </x:c>
    </x:row>
    <x:row r="74" ht="36" hidden="0" customHeight="1">
      <x:c r="A74" s="14" t="str">
        <x:v>B02</x:v>
      </x:c>
      <x:c r="B74" s="14" t="str">
        <x:v>翻盖毛刷挡条及卡件</x:v>
      </x:c>
      <x:c r="C74" s="14" t="str">
        <x:v>毛刷配套</x:v>
      </x:c>
      <x:c r="D74" s="14" t="str">
        <x:v>H01</x:v>
      </x:c>
      <x:c r="E74" s="19" t="n">
        <x:v>25</x:v>
      </x:c>
      <x:c r="F74" s="14" t="str">
        <x:v>A03/W02/正视及安装接口；型号选配详H01</x:v>
      </x:c>
      <x:c r="G74" s="14" t="str">
        <x:v>A03/W02/俯视及安装接口；型号选配详H01</x:v>
      </x:c>
      <x:c r="H74" s="14" t="str">
        <x:v>A03/W02/右视及安装接口；型号选配详H01</x:v>
      </x:c>
      <x:c r="I74" s="14" t="str">
        <x:v>规格数量已定；型号/安装孔按到货模板</x:v>
      </x:c>
      <x:c r="J74" s="14" t="str">
        <x:v>A03</x:v>
      </x:c>
      <x:c r="K74" s="14" t="str">
        <x:v>型材按样板；毛刷本体计入B01，挡条卡件在此计数</x:v>
      </x:c>
    </x:row>
  </x:sheetData>
  <x:conditionalFormatting sqref="F8:H74">
    <x:cfRule type="containsText" dxfId="2" priority="1" operator="containsText" text="待"/>
    <x:cfRule type="containsText" dxfId="3" priority="2" operator="containsText" text="缺失"/>
  </x:conditionalFormatting>
  <x:pageMargins left="0.7" right="0.7" top="0.75" bottom="0.75" header="0.3" footer="0.3"/>
  <x:tableParts count="1">
    <x:tablePart xmlns:r="http://schemas.openxmlformats.org/officeDocument/2006/relationships" r:id="R6e5e32fa0484472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8" hidden="0" customWidth="1"/>
    <x:col min="2" max="2" width="28" hidden="0" customWidth="1"/>
    <x:col min="3" max="3" width="28" hidden="0" customWidth="1"/>
    <x:col min="4" max="4" width="110" hidden="0" customWidth="1"/>
  </x:cols>
  <x:sheetData>
    <x:row r="1" ht="30" customHeight="1">
      <x:c r="A1" s="2"/>
      <x:c r="B1" s="2"/>
      <x:c r="C1" s="2"/>
      <x:c r="D1" s="2"/>
    </x:row>
    <x:row r="2" ht="30" customHeight="1">
      <x:c r="A2" s="3" t="str">
        <x:v>交付资料复核记录</x:v>
      </x:c>
      <x:c r="B2" s="2"/>
      <x:c r="C2" s="2"/>
      <x:c r="D2" s="2"/>
    </x:row>
    <x:row r="3" ht="30" customHeight="1">
      <x:c r="A3" s="21" t="str">
        <x:v>HW73005-L2000　L2000体验桌　R01　尺寸单位 mm</x:v>
      </x:c>
      <x:c r="B3" s="4"/>
      <x:c r="C3" s="4"/>
      <x:c r="D3" s="4"/>
    </x:row>
    <x:row r="4" ht="30" customHeight="1">
      <x:c r="A4" s="2" t="str">
        <x:v>批量（套）</x:v>
      </x:c>
      <x:c r="B4" s="23" t="n">
        <x:f>'零件清单'!$B$4</x:f>
        <x:v>1</x:v>
      </x:c>
      <x:c r="C4" s="2" t="str">
        <x:v>版次日期</x:v>
      </x:c>
      <x:c r="D4" s="30" t="n">
        <x:v>46296</x:v>
      </x:c>
    </x:row>
    <x:row r="5" ht="30" customHeight="1">
      <x:c r="A5" s="2" t="str">
        <x:v>记录资料内部校核及尚待确认的事项；不代表工厂或接收方已批准下单。</x:v>
      </x:c>
      <x:c r="B5" s="2"/>
      <x:c r="C5" s="2"/>
      <x:c r="D5" s="2"/>
    </x:row>
    <x:row r="6" ht="30" customHeight="1">
      <x:c r="A6" s="2"/>
      <x:c r="B6" s="2"/>
      <x:c r="C6" s="2"/>
      <x:c r="D6" s="2"/>
    </x:row>
    <x:row r="7" ht="32" customHeight="1">
      <x:c r="A7" s="9" t="str">
        <x:v>类别</x:v>
      </x:c>
      <x:c r="B7" s="10" t="str">
        <x:v>复核对象</x:v>
      </x:c>
      <x:c r="C7" s="10" t="str">
        <x:v>结果</x:v>
      </x:c>
      <x:c r="D7" s="11" t="str">
        <x:v>证据 / 处理说明</x:v>
      </x:c>
    </x:row>
    <x:row r="8" ht="36" hidden="0" customHeight="1">
      <x:c r="A8" s="14" t="str">
        <x:v>来源</x:v>
      </x:c>
      <x:c r="B8" s="14" t="str">
        <x:v>顾客DWG</x:v>
      </x:c>
      <x:c r="C8" s="14" t="str">
        <x:v>有效模型/引用块与五张图片已提取</x:v>
      </x:c>
      <x:c r="D8" s="14" t="str">
        <x:v>旧未引用说明未纳入；原件副本只读归档</x:v>
      </x:c>
    </x:row>
    <x:row r="9" ht="36" hidden="0" customHeight="1">
      <x:c r="A9" s="13" t="str">
        <x:v>三视/接口</x:v>
      </x:c>
      <x:c r="B9" s="13" t="str">
        <x:v>总装、分总成及制作件</x:v>
      </x:c>
      <x:c r="C9" s="13" t="str">
        <x:v>已绘并进行图页复核；配作接口另列</x:v>
      </x:c>
      <x:c r="D9" s="13" t="str">
        <x:v>各件front/top/side字段指向对应图页；曲面壳、折弯展开和到货五金仍须首件</x:v>
      </x:c>
    </x:row>
    <x:row r="10" ht="36" hidden="0" customHeight="1">
      <x:c r="A10" s="14" t="str">
        <x:v>CAD结构</x:v>
      </x:c>
      <x:c r="B10" s="14" t="str">
        <x:v>同版DXF/DWG</x:v>
      </x:c>
      <x:c r="C10" s="14" t="str">
        <x:v>DWG2004回读及逐实体校核通过</x:v>
      </x:c>
      <x:c r="D10" s="14" t="str">
        <x:v>真AC1018、mm、25布局、144原生尺寸；29031项数值比较最大差5.83e-11，小于1e-7；转换副本补齐尺寸缓存和VIEWPORTS图层</x:v>
      </x:c>
    </x:row>
    <x:row r="11" ht="36" hidden="0" customHeight="1">
      <x:c r="A11" s="13" t="str">
        <x:v>PDF视觉</x:v>
      </x:c>
      <x:c r="B11" s="13" t="str">
        <x:v>全图册</x:v>
      </x:c>
      <x:c r="C11" s="13" t="str">
        <x:v>25页逐页目检通过</x:v>
      </x:c>
      <x:c r="D11" s="13" t="str">
        <x:v>中文、页码、图签、裁切与重叠检查；第9页尺寸已修；PDF SHA256 0c985bdb8ef0cef5bd1bed98eaff329f0e4b17fdf5297fe6138f533186925f31</x:v>
      </x:c>
    </x:row>
    <x:row r="12" ht="36" hidden="0" customHeight="1">
      <x:c r="A12" s="14" t="str">
        <x:v>同版清单</x:v>
      </x:c>
      <x:c r="B12" s="14" t="str">
        <x:v>件号/页码/数量</x:v>
      </x:c>
      <x:c r="C12" s="14" t="str">
        <x:v>42项件号、数量和父级核对通过</x:v>
      </x:c>
      <x:c r="D12" s="14" t="str">
        <x:v>25图号映射一致，无缺失父级或自指；装配与领料分别计数；E04/E05长度留空</x:v>
      </x:c>
    </x:row>
    <x:row r="13" ht="36" hidden="0" customHeight="1">
      <x:c r="A13" s="13" t="str">
        <x:v>制造</x:v>
      </x:c>
      <x:c r="B13" s="13" t="str">
        <x:v>钣金展开及腿配切</x:v>
      </x:c>
      <x:c r="C13" s="13" t="str">
        <x:v>外部待定</x:v>
      </x:c>
      <x:c r="D13" s="13" t="str">
        <x:v>需实际板材/刀具、折弯扣除、成型首件和焊接收缩；未发布最终展开下料</x:v>
      </x:c>
    </x:row>
    <x:row r="14" ht="36" hidden="0" customHeight="1">
      <x:c r="A14" s="14" t="str">
        <x:v>外购接口</x:v>
      </x:c>
      <x:c r="B14" s="14" t="str">
        <x:v>锁/铰链/排插/毛刷</x:v>
      </x:c>
      <x:c r="C14" s="14" t="str">
        <x:v>按到货模板及样板配作</x:v>
      </x:c>
      <x:c r="D14" s="14" t="str">
        <x:v>型号未指定；本版已定安装基准，孔形/型材卡入尺寸不得猜测</x:v>
      </x:c>
    </x:row>
    <x:row r="15" ht="36" hidden="0" customHeight="1">
      <x:c r="A15" s="13" t="str">
        <x:v>过线冲突</x:v>
      </x:c>
      <x:c r="B15" s="13" t="str">
        <x:v>刀形腿与≥25铁管</x:v>
      </x:c>
      <x:c r="C15" s="13" t="str">
        <x:v>R01提出调整，实物待核</x:v>
      </x:c>
      <x:c r="D15" s="13" t="str">
        <x:v>腿净腔约24.7；管止于腿上口，腿内线缆加保护与夹持；不得当原管贯穿已满足</x:v>
      </x:c>
    </x:row>
    <x:row r="16" ht="36" hidden="0" customHeight="1">
      <x:c r="A16" s="14" t="str">
        <x:v>接收方CAD</x:v>
      </x:c>
      <x:c r="B16" s="14" t="str">
        <x:v>实际接收软件/版本</x:v>
      </x:c>
      <x:c r="C16" s="14" t="str">
        <x:v>未执行</x:v>
      </x:c>
      <x:c r="D16" s="14" t="str">
        <x:v>ODA转换和ezdxf回读不替代接收方CAD操作验收</x:v>
      </x:c>
    </x:row>
    <x:row r="17" ht="36" hidden="0" customHeight="1">
      <x:c r="A17" s="13" t="str">
        <x:v>首件/电气</x:v>
      </x:c>
      <x:c r="B17" s="13" t="str">
        <x:v>工厂实物</x:v>
      </x:c>
      <x:c r="C17" s="13" t="str">
        <x:v>未执行</x:v>
      </x:c>
      <x:c r="D17" s="13" t="str">
        <x:v>强度稳定性、脚调节、门盖启闭及电气检验须实物完成</x:v>
      </x:c>
    </x:row>
  </x:sheetData>
  <x:conditionalFormatting sqref="C8:C17">
    <x:cfRule type="containsText" dxfId="4" priority="1" operator="containsText" text="待"/>
  </x:conditionalFormatting>
  <x:pageMargins left="0.7" right="0.7" top="0.75" bottom="0.75" header="0.3" footer="0.3"/>
  <x:tableParts count="1">
    <x:tablePart xmlns:r="http://schemas.openxmlformats.org/officeDocument/2006/relationships" r:id="R0f97e06937454209"/>
  </x:tableParts>
</x:worksheet>
</file>