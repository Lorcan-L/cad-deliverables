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61aca5748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件清单" sheetId="1" r:id="R44c541aecb6f4112"/>
    <x:sheet xmlns:r="http://schemas.openxmlformats.org/officeDocument/2006/relationships" name="成品五金" sheetId="2" r:id="R31cbb881875b4d82"/>
    <x:sheet xmlns:r="http://schemas.openxmlformats.org/officeDocument/2006/relationships" name="待核接口" sheetId="3" r:id="Rc785948c306b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0"/>
  </x:numFmts>
  <x:fonts count="5">
    <x:font>
      <x:sz val="11"/>
      <x:name val="Carlito"/>
    </x:font>
    <x:font>
      <x:sz val="10"/>
      <x:color rgb="FF253642"/>
      <x:name val="Arial"/>
    </x:font>
    <x:font>
      <x:b/>
      <x:sz val="15"/>
      <x:color rgb="FF253642"/>
      <x:name val="Arial"/>
    </x:font>
    <x:font>
      <x:b/>
      <x:sz val="10"/>
      <x:color rgb="FFFFFFFF"/>
      <x:name val="Arial"/>
    </x:font>
    <x:font>
      <x:sz val="10"/>
      <x:color rgb="FF165A9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4D61"/>
      </x:patternFill>
    </x:fill>
    <x:fill>
      <x:patternFill patternType="solid">
        <x:fgColor rgb="FFF3F6F8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2e6e64539460f" /><Relationship Type="http://schemas.openxmlformats.org/officeDocument/2006/relationships/theme" Target="/xl/theme/theme1.xml" Id="R443280950ec04419" /><Relationship Type="http://schemas.openxmlformats.org/officeDocument/2006/relationships/sharedStrings" Target="/xl/sharedStrings.xml" Id="R7f474feef6054a23" /><Relationship Type="http://schemas.openxmlformats.org/officeDocument/2006/relationships/worksheet" Target="/xl/worksheets/sheet1.xml" Id="R44c541aecb6f4112" /><Relationship Type="http://schemas.openxmlformats.org/officeDocument/2006/relationships/worksheet" Target="/xl/worksheets/sheet2.xml" Id="R31cbb881875b4d82" /><Relationship Type="http://schemas.openxmlformats.org/officeDocument/2006/relationships/worksheet" Target="/xl/worksheets/sheet3.xml" Id="Rc785948c306b43db" /></Relationships>
</file>

<file path=xl/tables/table1.xml><?xml version="1.0" encoding="utf-8"?>
<x:table xmlns:x="http://schemas.openxmlformats.org/spreadsheetml/2006/main" id="1" name="R04Parts" displayName="R04Parts" ref="A7:H90" headerRowCount="1" totalsRowCount="0" totalsRowShown="0">
  <x:autoFilter ref="A7:H90"/>
  <x:tableColumns count="8">
    <x:tableColumn id="1" name="件号"/>
    <x:tableColumn id="2" name="名称"/>
    <x:tableColumn id="3" name="类别"/>
    <x:tableColumn id="4" name="每桌用量"/>
    <x:tableColumn id="5" name="单位"/>
    <x:tableColumn id="6" name="成品规格 / 加工外包"/>
    <x:tableColumn id="7" name="同版图页"/>
    <x:tableColumn id="8" name="所属装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4Hardware" displayName="R04Hardware" ref="A7:M42" headerRowCount="1" totalsRowCount="0" totalsRowShown="0">
  <x:autoFilter ref="A7:M42"/>
  <x:tableColumns count="13">
    <x:tableColumn id="1" name="组件号"/>
    <x:tableColumn id="2" name="所属件号"/>
    <x:tableColumn id="3" name="成品 / 子件"/>
    <x:tableColumn id="4" name="订购型号"/>
    <x:tableColumn id="5" name="销售网址"/>
    <x:tableColumn id="6" name="装配件数"/>
    <x:tableColumn id="7" name="每销售单位件数"/>
    <x:tableColumn id="8" name="最小销售单位"/>
    <x:tableColumn id="9" name="建议销售单位"/>
    <x:tableColumn id="10" name="公开单位价"/>
    <x:tableColumn id="11" name="币种"/>
    <x:tableColumn id="12" name="材料参考额"/>
    <x:tableColumn id="13" name="价格性质与库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4Issues" displayName="R04Issues" ref="A7:C14" headerRowCount="1" totalsRowCount="0" totalsRowShown="0">
  <x:autoFilter ref="A7:C14"/>
  <x:tableColumns count="3">
    <x:tableColumn id="1" name="接口"/>
    <x:tableColumn id="2" name="当前证据"/>
    <x:tableColumn id="3" name="放行前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d90e5a583c45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70ff3d82de4c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f8542e4166457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5" hidden="0" customWidth="1"/>
    <x:col min="4" max="4" width="12" hidden="0" customWidth="1"/>
    <x:col min="5" max="5" width="10" hidden="0" customWidth="1"/>
    <x:col min="6" max="6" width="55" hidden="0" customWidth="1"/>
    <x:col min="7" max="7" width="25" hidden="0" customWidth="1"/>
    <x:col min="8" max="8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R04部件清单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 t="str">
        <x:v>HW73005-L2000　R04　2026-10-02　单位：mm；数量按一桌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26" customHeight="1">
      <x:c r="A5" s="2" t="str">
        <x:v>价格为公开参考价，未含未声明的税费、运费与进口费用；待核项见第三页。</x:v>
      </x:c>
      <x:c r="B5" s="2"/>
      <x:c r="C5" s="2"/>
      <x:c r="D5" s="2"/>
      <x:c r="E5" s="2"/>
      <x:c r="F5" s="2"/>
      <x:c r="G5" s="2"/>
      <x:c r="H5" s="2"/>
    </x:row>
    <x:row r="6" ht="26" customHeight="1">
      <x:c r="A6" s="2"/>
      <x:c r="B6" s="2"/>
      <x:c r="C6" s="2"/>
      <x:c r="D6" s="2"/>
      <x:c r="E6" s="2"/>
      <x:c r="F6" s="2"/>
      <x:c r="G6" s="2"/>
      <x:c r="H6" s="2"/>
    </x:row>
    <x:row r="7" ht="34" customHeight="1">
      <x:c r="A7" s="7" t="str">
        <x:v>件号</x:v>
      </x:c>
      <x:c r="B7" s="7" t="str">
        <x:v>名称</x:v>
      </x:c>
      <x:c r="C7" s="7" t="str">
        <x:v>类别</x:v>
      </x:c>
      <x:c r="D7" s="7" t="str">
        <x:v>每桌用量</x:v>
      </x:c>
      <x:c r="E7" s="7" t="str">
        <x:v>单位</x:v>
      </x:c>
      <x:c r="F7" s="7" t="str">
        <x:v>成品规格 / 加工外包</x:v>
      </x:c>
      <x:c r="G7" s="7" t="str">
        <x:v>同版图页</x:v>
      </x:c>
      <x:c r="H7" s="7" t="str">
        <x:v>所属装配</x:v>
      </x:c>
    </x:row>
    <x:row r="8" ht="42" customHeight="1">
      <x:c r="A8" s="9" t="str">
        <x:v>A01</x:v>
      </x:c>
      <x:c r="B8" s="9" t="str">
        <x:v>体验桌总装</x:v>
      </x:c>
      <x:c r="C8" s="9" t="str">
        <x:v>装配</x:v>
      </x:c>
      <x:c r="D8" s="11" t="n">
        <x:v>1</x:v>
      </x:c>
      <x:c r="E8" s="9" t="str">
        <x:v>套</x:v>
      </x:c>
      <x:c r="F8" s="9" t="str">
        <x:v>2000×1200×900</x:v>
      </x:c>
      <x:c r="G8" s="9" t="str">
        <x:v>A01 / 1</x:v>
      </x:c>
      <x:c r="H8" s="9" t="str">
        <x:v>整桌</x:v>
      </x:c>
    </x:row>
    <x:row r="9" ht="42" customHeight="1">
      <x:c r="A9" s="10" t="str">
        <x:v>A04</x:v>
      </x:c>
      <x:c r="B9" s="10" t="str">
        <x:v>焊接钢结构总成</x:v>
      </x:c>
      <x:c r="C9" s="10" t="str">
        <x:v>装配</x:v>
      </x:c>
      <x:c r="D9" s="12" t="n">
        <x:v>1</x:v>
      </x:c>
      <x:c r="E9" s="10" t="str">
        <x:v>套</x:v>
      </x:c>
      <x:c r="F9" s="10" t="str">
        <x:v>1990×1190×882（含脚）</x:v>
      </x:c>
      <x:c r="G9" s="10" t="str">
        <x:v>A04 / 3、F01 / 21</x:v>
      </x:c>
      <x:c r="H9" s="10" t="str">
        <x:v>A01</x:v>
      </x:c>
    </x:row>
    <x:row r="10" ht="42" customHeight="1">
      <x:c r="A10" s="9" t="str">
        <x:v>A03</x:v>
      </x:c>
      <x:c r="B10" s="9" t="str">
        <x:v>桌面翻盖总成</x:v>
      </x:c>
      <x:c r="C10" s="9" t="str">
        <x:v>装配</x:v>
      </x:c>
      <x:c r="D10" s="11" t="n">
        <x:v>1</x:v>
      </x:c>
      <x:c r="E10" s="9" t="str">
        <x:v>组</x:v>
      </x:c>
      <x:c r="F10" s="9" t="str">
        <x:v>2000×1200×18</x:v>
      </x:c>
      <x:c r="G10" s="9" t="str">
        <x:v>A03 / 2</x:v>
      </x:c>
      <x:c r="H10" s="9" t="str">
        <x:v>A01</x:v>
      </x:c>
    </x:row>
    <x:row r="11" ht="42" customHeight="1">
      <x:c r="A11" s="10" t="str">
        <x:v>A05</x:v>
      </x:c>
      <x:c r="B11" s="10" t="str">
        <x:v>翻盖承托盒总成</x:v>
      </x:c>
      <x:c r="C11" s="10" t="str">
        <x:v>装配</x:v>
      </x:c>
      <x:c r="D11" s="12" t="n">
        <x:v>2</x:v>
      </x:c>
      <x:c r="E11" s="10" t="str">
        <x:v>组</x:v>
      </x:c>
      <x:c r="F11" s="10" t="str">
        <x:v>330×230×96；内净300×200</x:v>
      </x:c>
      <x:c r="G11" s="10" t="str">
        <x:v>A03 / 2、W03 / 7</x:v>
      </x:c>
      <x:c r="H11" s="10" t="str">
        <x:v>A04</x:v>
      </x:c>
    </x:row>
    <x:row r="12" ht="42" customHeight="1">
      <x:c r="A12" s="9" t="str">
        <x:v>W01</x:v>
      </x:c>
      <x:c r="B12" s="9" t="str">
        <x:v>桌面主板</x:v>
      </x:c>
      <x:c r="C12" s="9" t="str">
        <x:v>木作</x:v>
      </x:c>
      <x:c r="D12" s="11" t="n">
        <x:v>1</x:v>
      </x:c>
      <x:c r="E12" s="9" t="str">
        <x:v>件</x:v>
      </x:c>
      <x:c r="F12" s="9" t="str">
        <x:v>2000×1200×18</x:v>
      </x:c>
      <x:c r="G12" s="9" t="str">
        <x:v>W01 / 4、D02 / 6</x:v>
      </x:c>
      <x:c r="H12" s="9" t="str">
        <x:v>A03</x:v>
      </x:c>
    </x:row>
    <x:row r="13" ht="42" customHeight="1">
      <x:c r="A13" s="10" t="str">
        <x:v>W02A</x:v>
      </x:c>
      <x:c r="B13" s="10" t="str">
        <x:v>桌面有槽翻盖板</x:v>
      </x:c>
      <x:c r="C13" s="10" t="str">
        <x:v>木作</x:v>
      </x:c>
      <x:c r="D13" s="12" t="n">
        <x:v>2</x:v>
      </x:c>
      <x:c r="E13" s="10" t="str">
        <x:v>件</x:v>
      </x:c>
      <x:c r="F13" s="10" t="str">
        <x:v>298×59.2×18；中央底槽保持</x:v>
      </x:c>
      <x:c r="G13" s="10" t="str">
        <x:v>W02 / 5、D02 / 6</x:v>
      </x:c>
      <x:c r="H13" s="10" t="str">
        <x:v>A03</x:v>
      </x:c>
    </x:row>
    <x:row r="14" ht="42" customHeight="1">
      <x:c r="A14" s="9" t="str">
        <x:v>W02B</x:v>
      </x:c>
      <x:c r="B14" s="9" t="str">
        <x:v>桌面实截面翻盖板</x:v>
      </x:c>
      <x:c r="C14" s="9" t="str">
        <x:v>木作</x:v>
      </x:c>
      <x:c r="D14" s="11" t="n">
        <x:v>2</x:v>
      </x:c>
      <x:c r="E14" s="9" t="str">
        <x:v>件</x:v>
      </x:c>
      <x:c r="F14" s="9" t="str">
        <x:v>298×59.2×18</x:v>
      </x:c>
      <x:c r="G14" s="9" t="str">
        <x:v>W02 / 5、D02 / 6</x:v>
      </x:c>
      <x:c r="H14" s="9" t="str">
        <x:v>A03</x:v>
      </x:c>
    </x:row>
    <x:row r="15" ht="42" customHeight="1">
      <x:c r="A15" s="10" t="str">
        <x:v>W03</x:v>
      </x:c>
      <x:c r="B15" s="10" t="str">
        <x:v>承托盒长侧板（无孔）</x:v>
      </x:c>
      <x:c r="C15" s="10" t="str">
        <x:v>木作</x:v>
      </x:c>
      <x:c r="D15" s="12" t="n">
        <x:v>2</x:v>
      </x:c>
      <x:c r="E15" s="10" t="str">
        <x:v>件</x:v>
      </x:c>
      <x:c r="F15" s="10" t="str">
        <x:v>330×91×15</x:v>
      </x:c>
      <x:c r="G15" s="10" t="str">
        <x:v>W03 / 7</x:v>
      </x:c>
      <x:c r="H15" s="10" t="str">
        <x:v>A05</x:v>
      </x:c>
    </x:row>
    <x:row r="16" ht="42" customHeight="1">
      <x:c r="A16" s="9" t="str">
        <x:v>W03A</x:v>
      </x:c>
      <x:c r="B16" s="9" t="str">
        <x:v>承托盒长侧板（有孔）</x:v>
      </x:c>
      <x:c r="C16" s="9" t="str">
        <x:v>木作</x:v>
      </x:c>
      <x:c r="D16" s="11" t="n">
        <x:v>2</x:v>
      </x:c>
      <x:c r="E16" s="9" t="str">
        <x:v>件</x:v>
      </x:c>
      <x:c r="F16" s="9" t="str">
        <x:v>330×91×15，φ50孔中心165/51</x:v>
      </x:c>
      <x:c r="G16" s="9" t="str">
        <x:v>W03 / 7</x:v>
      </x:c>
      <x:c r="H16" s="9" t="str">
        <x:v>A05</x:v>
      </x:c>
    </x:row>
    <x:row r="17" ht="42" customHeight="1">
      <x:c r="A17" s="10" t="str">
        <x:v>W04B</x:v>
      </x:c>
      <x:c r="B17" s="10" t="str">
        <x:v>承托盒短侧板</x:v>
      </x:c>
      <x:c r="C17" s="10" t="str">
        <x:v>木作</x:v>
      </x:c>
      <x:c r="D17" s="12" t="n">
        <x:v>4</x:v>
      </x:c>
      <x:c r="E17" s="10" t="str">
        <x:v>件</x:v>
      </x:c>
      <x:c r="F17" s="10" t="str">
        <x:v>200×91×15</x:v>
      </x:c>
      <x:c r="G17" s="10" t="str">
        <x:v>W03 / 7</x:v>
      </x:c>
      <x:c r="H17" s="10" t="str">
        <x:v>A05</x:v>
      </x:c>
    </x:row>
    <x:row r="18" ht="42" customHeight="1">
      <x:c r="A18" s="9" t="str">
        <x:v>W05</x:v>
      </x:c>
      <x:c r="B18" s="9" t="str">
        <x:v>承托盒底板</x:v>
      </x:c>
      <x:c r="C18" s="9" t="str">
        <x:v>木作</x:v>
      </x:c>
      <x:c r="D18" s="11" t="n">
        <x:v>2</x:v>
      </x:c>
      <x:c r="E18" s="9" t="str">
        <x:v>件</x:v>
      </x:c>
      <x:c r="F18" s="9" t="str">
        <x:v>330×230×5</x:v>
      </x:c>
      <x:c r="G18" s="9" t="str">
        <x:v>W03 / 7</x:v>
      </x:c>
      <x:c r="H18" s="9" t="str">
        <x:v>A05</x:v>
      </x:c>
    </x:row>
    <x:row r="19" ht="42" customHeight="1">
      <x:c r="A19" s="10" t="str">
        <x:v>S01</x:v>
      </x:c>
      <x:c r="B19" s="10" t="str">
        <x:v>长边斜腹板</x:v>
      </x:c>
      <x:c r="C19" s="10" t="str">
        <x:v>钣金</x:v>
      </x:c>
      <x:c r="D19" s="12" t="n">
        <x:v>2</x:v>
      </x:c>
      <x:c r="E19" s="10" t="str">
        <x:v>件</x:v>
      </x:c>
      <x:c r="F19" s="10" t="str">
        <x:v>最大沿长投影1957.058448×110.3×100；复合端口见图</x:v>
      </x:c>
      <x:c r="G19" s="10" t="str">
        <x:v>S01 / 8</x:v>
      </x:c>
      <x:c r="H19" s="10" t="str">
        <x:v>A04</x:v>
      </x:c>
    </x:row>
    <x:row r="20" ht="42" customHeight="1">
      <x:c r="A20" s="9" t="str">
        <x:v>S02</x:v>
      </x:c>
      <x:c r="B20" s="9" t="str">
        <x:v>短边斜腹板</x:v>
      </x:c>
      <x:c r="C20" s="9" t="str">
        <x:v>钣金</x:v>
      </x:c>
      <x:c r="D20" s="11" t="n">
        <x:v>2</x:v>
      </x:c>
      <x:c r="E20" s="9" t="str">
        <x:v>件</x:v>
      </x:c>
      <x:c r="F20" s="9" t="str">
        <x:v>最大沿长投影1157.058448×110.3×100；复合端口见图</x:v>
      </x:c>
      <x:c r="G20" s="9" t="str">
        <x:v>S02 / 9</x:v>
      </x:c>
      <x:c r="H20" s="9" t="str">
        <x:v>A04</x:v>
      </x:c>
    </x:row>
    <x:row r="21" ht="42" customHeight="1">
      <x:c r="A21" s="10" t="str">
        <x:v>A07</x:v>
      </x:c>
      <x:c r="B21" s="10" t="str">
        <x:v>刀形桌腿焊接总成</x:v>
      </x:c>
      <x:c r="C21" s="10" t="str">
        <x:v>装配</x:v>
      </x:c>
      <x:c r="D21" s="12" t="n">
        <x:v>4</x:v>
      </x:c>
      <x:c r="E21" s="10" t="str">
        <x:v>组</x:v>
      </x:c>
      <x:c r="F21" s="10" t="str">
        <x:v>131.062×27.933×882（含脚5）</x:v>
      </x:c>
      <x:c r="G21" s="10" t="str">
        <x:v>A04 / 3</x:v>
      </x:c>
      <x:c r="H21" s="10" t="str">
        <x:v>A04</x:v>
      </x:c>
    </x:row>
    <x:row r="22" ht="42" customHeight="1">
      <x:c r="A22" s="9" t="str">
        <x:v>S03A</x:v>
      </x:c>
      <x:c r="B22" s="9" t="str">
        <x:v>刀形腿开口壳</x:v>
      </x:c>
      <x:c r="C22" s="9" t="str">
        <x:v>钣金</x:v>
      </x:c>
      <x:c r="D22" s="11" t="n">
        <x:v>4</x:v>
      </x:c>
      <x:c r="E22" s="9" t="str">
        <x:v>件</x:v>
      </x:c>
      <x:c r="F22" s="9" t="str">
        <x:v>131.062×27.933×877（低端777）</x:v>
      </x:c>
      <x:c r="G22" s="9" t="str">
        <x:v>S03A / 10</x:v>
      </x:c>
      <x:c r="H22" s="9" t="str">
        <x:v>A07</x:v>
      </x:c>
    </x:row>
    <x:row r="23" ht="42" customHeight="1">
      <x:c r="A23" s="10" t="str">
        <x:v>S03B</x:v>
      </x:c>
      <x:c r="B23" s="10" t="str">
        <x:v>刀形腿内端封板</x:v>
      </x:c>
      <x:c r="C23" s="10" t="str">
        <x:v>钣金</x:v>
      </x:c>
      <x:c r="D23" s="12" t="n">
        <x:v>3</x:v>
      </x:c>
      <x:c r="E23" s="10" t="str">
        <x:v>件</x:v>
      </x:c>
      <x:c r="F23" s="10" t="str">
        <x:v>外包22.503615×777.000000×T1.5；净形/孔见原生轮廓</x:v>
      </x:c>
      <x:c r="G23" s="10" t="str">
        <x:v>S03BC / 17</x:v>
      </x:c>
      <x:c r="H23" s="10" t="str">
        <x:v>A07</x:v>
      </x:c>
    </x:row>
    <x:row r="24" ht="42" customHeight="1">
      <x:c r="A24" s="9" t="str">
        <x:v>S03C</x:v>
      </x:c>
      <x:c r="B24" s="9" t="str">
        <x:v>刀形腿底封板</x:v>
      </x:c>
      <x:c r="C24" s="9" t="str">
        <x:v>钣金</x:v>
      </x:c>
      <x:c r="D24" s="11" t="n">
        <x:v>4</x:v>
      </x:c>
      <x:c r="E24" s="9" t="str">
        <x:v>件</x:v>
      </x:c>
      <x:c r="F24" s="9" t="str">
        <x:v>外包127.661040×24.428053×T1.5；净形/孔见原生轮廓</x:v>
      </x:c>
      <x:c r="G24" s="9" t="str">
        <x:v>S03BC / 17</x:v>
      </x:c>
      <x:c r="H24" s="9" t="str">
        <x:v>A07</x:v>
      </x:c>
    </x:row>
    <x:row r="25" ht="42" customHeight="1">
      <x:c r="A25" s="10" t="str">
        <x:v>S04</x:v>
      </x:c>
      <x:c r="B25" s="10" t="str">
        <x:v>桌肚四边折边底盘</x:v>
      </x:c>
      <x:c r="C25" s="10" t="str">
        <x:v>钣金</x:v>
      </x:c>
      <x:c r="D25" s="12" t="n">
        <x:v>1</x:v>
      </x:c>
      <x:c r="E25" s="10" t="str">
        <x:v>件</x:v>
      </x:c>
      <x:c r="F25" s="10" t="str">
        <x:v>1769.4×969.4×15</x:v>
      </x:c>
      <x:c r="G25" s="10" t="str">
        <x:v>S04 / 11</x:v>
      </x:c>
      <x:c r="H25" s="10" t="str">
        <x:v>A04</x:v>
      </x:c>
    </x:row>
    <x:row r="26" ht="42" customHeight="1">
      <x:c r="A26" s="9" t="str">
        <x:v>S07</x:v>
      </x:c>
      <x:c r="B26" s="9" t="str">
        <x:v>桌肚检修门</x:v>
      </x:c>
      <x:c r="C26" s="9" t="str">
        <x:v>钣金</x:v>
      </x:c>
      <x:c r="D26" s="11" t="n">
        <x:v>2</x:v>
      </x:c>
      <x:c r="E26" s="9" t="str">
        <x:v>件</x:v>
      </x:c>
      <x:c r="F26" s="9" t="str">
        <x:v>994.8×154.8×10</x:v>
      </x:c>
      <x:c r="G26" s="9" t="str">
        <x:v>S07 / 12、F01 / 21</x:v>
      </x:c>
      <x:c r="H26" s="9" t="str">
        <x:v>A04</x:v>
      </x:c>
    </x:row>
    <x:row r="27" ht="42" customHeight="1">
      <x:c r="A27" s="10" t="str">
        <x:v>S05</x:v>
      </x:c>
      <x:c r="B27" s="10" t="str">
        <x:v>长向C型加强筋</x:v>
      </x:c>
      <x:c r="C27" s="10" t="str">
        <x:v>钣金制造件</x:v>
      </x:c>
      <x:c r="D27" s="12" t="n">
        <x:v>1</x:v>
      </x:c>
      <x:c r="E27" s="10" t="str">
        <x:v>件</x:v>
      </x:c>
      <x:c r="F27" s="10" t="str">
        <x:v>最大投影1943×30×97；上边1915.4；下边1767</x:v>
      </x:c>
      <x:c r="G27" s="10" t="str">
        <x:v>S05 / 13</x:v>
      </x:c>
      <x:c r="H27" s="10" t="str">
        <x:v>A04</x:v>
      </x:c>
    </x:row>
    <x:row r="28" ht="42" customHeight="1">
      <x:c r="A28" s="9" t="str">
        <x:v>S06</x:v>
      </x:c>
      <x:c r="B28" s="9" t="str">
        <x:v>U型卡槽</x:v>
      </x:c>
      <x:c r="C28" s="9" t="str">
        <x:v>钣金制造件</x:v>
      </x:c>
      <x:c r="D28" s="11" t="n">
        <x:v>2</x:v>
      </x:c>
      <x:c r="E28" s="9" t="str">
        <x:v>件</x:v>
      </x:c>
      <x:c r="F28" s="9" t="str">
        <x:v>100长×25底宽×20高；喉口18</x:v>
      </x:c>
      <x:c r="G28" s="9" t="str">
        <x:v>S06 / 15</x:v>
      </x:c>
      <x:c r="H28" s="9" t="str">
        <x:v>A04</x:v>
      </x:c>
    </x:row>
    <x:row r="29" ht="42" customHeight="1">
      <x:c r="A29" s="10" t="str">
        <x:v>A08</x:v>
      </x:c>
      <x:c r="B29" s="10" t="str">
        <x:v>桌肚内部加强与检修总成</x:v>
      </x:c>
      <x:c r="C29" s="10" t="str">
        <x:v>装配</x:v>
      </x:c>
      <x:c r="D29" s="12" t="n">
        <x:v>1</x:v>
      </x:c>
      <x:c r="E29" s="10" t="str">
        <x:v>组</x:v>
      </x:c>
      <x:c r="F29" s="10" t="str">
        <x:v>沿用2000×1200×900；详子件</x:v>
      </x:c>
      <x:c r="G29" s="10" t="str">
        <x:v>A04 / 3</x:v>
      </x:c>
      <x:c r="H29" s="10" t="str">
        <x:v>A04</x:v>
      </x:c>
    </x:row>
    <x:row r="30" ht="42" customHeight="1">
      <x:c r="A30" s="9" t="str">
        <x:v>S08</x:v>
      </x:c>
      <x:c r="B30" s="9" t="str">
        <x:v>可拆横梁焊接总成</x:v>
      </x:c>
      <x:c r="C30" s="9" t="str">
        <x:v>装配</x:v>
      </x:c>
      <x:c r="D30" s="11" t="n">
        <x:v>4</x:v>
      </x:c>
      <x:c r="E30" s="9" t="str">
        <x:v>组</x:v>
      </x:c>
      <x:c r="F30" s="9" t="str">
        <x:v>478×60×60；管身40×50×472</x:v>
      </x:c>
      <x:c r="G30" s="9" t="str">
        <x:v>S08A / 16</x:v>
      </x:c>
      <x:c r="H30" s="9" t="str">
        <x:v>A08</x:v>
      </x:c>
    </x:row>
    <x:row r="31" ht="42" customHeight="1">
      <x:c r="A31" s="10" t="str">
        <x:v>S08A</x:v>
      </x:c>
      <x:c r="B31" s="10" t="str">
        <x:v>横梁矩管身</x:v>
      </x:c>
      <x:c r="C31" s="10" t="str">
        <x:v>钣金制造件</x:v>
      </x:c>
      <x:c r="D31" s="12" t="n">
        <x:v>4</x:v>
      </x:c>
      <x:c r="E31" s="10" t="str">
        <x:v>件</x:v>
      </x:c>
      <x:c r="F31" s="10" t="str">
        <x:v>40×50×T2，L472</x:v>
      </x:c>
      <x:c r="G31" s="10" t="str">
        <x:v>S08A / 16</x:v>
      </x:c>
      <x:c r="H31" s="10" t="str">
        <x:v>S08</x:v>
      </x:c>
    </x:row>
    <x:row r="32" ht="42" customHeight="1">
      <x:c r="A32" s="9" t="str">
        <x:v>S09A</x:v>
      </x:c>
      <x:c r="B32" s="9" t="str">
        <x:v>可拆横梁端板</x:v>
      </x:c>
      <x:c r="C32" s="9" t="str">
        <x:v>钣金制造件</x:v>
      </x:c>
      <x:c r="D32" s="11" t="n">
        <x:v>8</x:v>
      </x:c>
      <x:c r="E32" s="9" t="str">
        <x:v>件</x:v>
      </x:c>
      <x:c r="F32" s="9" t="str">
        <x:v>外包60.000000×60.000000×T3；净形/孔见原生轮廓</x:v>
      </x:c>
      <x:c r="G32" s="9" t="str">
        <x:v>S09 / 18</x:v>
      </x:c>
      <x:c r="H32" s="9" t="str">
        <x:v>S08</x:v>
      </x:c>
    </x:row>
    <x:row r="33" ht="42" customHeight="1">
      <x:c r="A33" s="10" t="str">
        <x:v>S09B</x:v>
      </x:c>
      <x:c r="B33" s="10" t="str">
        <x:v>桌面M6固定耳</x:v>
      </x:c>
      <x:c r="C33" s="10" t="str">
        <x:v>钣金制造件</x:v>
      </x:c>
      <x:c r="D33" s="12" t="n">
        <x:v>8</x:v>
      </x:c>
      <x:c r="E33" s="10" t="str">
        <x:v>件</x:v>
      </x:c>
      <x:c r="F33" s="10" t="str">
        <x:v>X宽40×水平40×高35；T3；6.6×12槽</x:v>
      </x:c>
      <x:c r="G33" s="10" t="str">
        <x:v>S09 / 18</x:v>
      </x:c>
      <x:c r="H33" s="10" t="str">
        <x:v>A08</x:v>
      </x:c>
    </x:row>
    <x:row r="34" ht="42" customHeight="1">
      <x:c r="A34" s="9" t="str">
        <x:v>S09C</x:v>
      </x:c>
      <x:c r="B34" s="9" t="str">
        <x:v>承托盒抱角</x:v>
      </x:c>
      <x:c r="C34" s="9" t="str">
        <x:v>钣金制造件</x:v>
      </x:c>
      <x:c r="D34" s="11" t="n">
        <x:v>8</x:v>
      </x:c>
      <x:c r="E34" s="9" t="str">
        <x:v>件</x:v>
      </x:c>
      <x:c r="F34" s="9" t="str">
        <x:v>Y宽50×X包35×Z高49；T2；側φ6 H11</x:v>
      </x:c>
      <x:c r="G34" s="9" t="str">
        <x:v>S09 / 18</x:v>
      </x:c>
      <x:c r="H34" s="9" t="str">
        <x:v>A08</x:v>
      </x:c>
    </x:row>
    <x:row r="35" ht="42" customHeight="1">
      <x:c r="A35" s="10" t="str">
        <x:v>S10A</x:v>
      </x:c>
      <x:c r="B35" s="10" t="str">
        <x:v>中央搭接检修盖</x:v>
      </x:c>
      <x:c r="C35" s="10" t="str">
        <x:v>钣金制造件</x:v>
      </x:c>
      <x:c r="D35" s="12" t="n">
        <x:v>1</x:v>
      </x:c>
      <x:c r="E35" s="10" t="str">
        <x:v>件</x:v>
      </x:c>
      <x:c r="F35" s="10" t="str">
        <x:v>外包340.000000×380.000000×T1.5；净形/孔见原生轮廓</x:v>
      </x:c>
      <x:c r="G35" s="10" t="str">
        <x:v>S10AB / 19、F01 / 21</x:v>
      </x:c>
      <x:c r="H35" s="10" t="str">
        <x:v>A08</x:v>
      </x:c>
    </x:row>
    <x:row r="36" ht="42" customHeight="1">
      <x:c r="A36" s="9" t="str">
        <x:v>S10B</x:v>
      </x:c>
      <x:c r="B36" s="9" t="str">
        <x:v>分线盒吊检修安装板</x:v>
      </x:c>
      <x:c r="C36" s="9" t="str">
        <x:v>钣金制造件</x:v>
      </x:c>
      <x:c r="D36" s="11" t="n">
        <x:v>1</x:v>
      </x:c>
      <x:c r="E36" s="9" t="str">
        <x:v>件</x:v>
      </x:c>
      <x:c r="F36" s="9" t="str">
        <x:v>外包300.000000×240.000000×T2；净形/孔见原生轮廓</x:v>
      </x:c>
      <x:c r="G36" s="9" t="str">
        <x:v>S10AB / 19、F01 / 21</x:v>
      </x:c>
      <x:c r="H36" s="9" t="str">
        <x:v>A08</x:v>
      </x:c>
    </x:row>
    <x:row r="37" ht="42" customHeight="1">
      <x:c r="A37" s="10" t="str">
        <x:v>S10C</x:v>
      </x:c>
      <x:c r="B37" s="10" t="str">
        <x:v>分线盒检修板悬臂</x:v>
      </x:c>
      <x:c r="C37" s="10" t="str">
        <x:v>钣金制造件</x:v>
      </x:c>
      <x:c r="D37" s="12" t="n">
        <x:v>4</x:v>
      </x:c>
      <x:c r="E37" s="10" t="str">
        <x:v>件</x:v>
      </x:c>
      <x:c r="F37" s="10" t="str">
        <x:v>沿Y20×X包85×Z高49；T3</x:v>
      </x:c>
      <x:c r="G37" s="10" t="str">
        <x:v>S10CDE / 20</x:v>
      </x:c>
      <x:c r="H37" s="10" t="str">
        <x:v>A08</x:v>
      </x:c>
    </x:row>
    <x:row r="38" ht="42" customHeight="1">
      <x:c r="A38" s="9" t="str">
        <x:v>S10D</x:v>
      </x:c>
      <x:c r="B38" s="9" t="str">
        <x:v>中央盖M5焊母补强片</x:v>
      </x:c>
      <x:c r="C38" s="9" t="str">
        <x:v>钣金制造件</x:v>
      </x:c>
      <x:c r="D38" s="11" t="n">
        <x:v>4</x:v>
      </x:c>
      <x:c r="E38" s="9" t="str">
        <x:v>件</x:v>
      </x:c>
      <x:c r="F38" s="9" t="str">
        <x:v>外包20.000000×20.000000×T2；净形/孔见原生轮廓</x:v>
      </x:c>
      <x:c r="G38" s="9" t="str">
        <x:v>S10CDE / 20</x:v>
      </x:c>
      <x:c r="H38" s="9" t="str">
        <x:v>A08</x:v>
      </x:c>
    </x:row>
    <x:row r="39" ht="42" customHeight="1">
      <x:c r="A39" s="10" t="str">
        <x:v>S10E</x:v>
      </x:c>
      <x:c r="B39" s="10" t="str">
        <x:v>检修门锁接收槽形座</x:v>
      </x:c>
      <x:c r="C39" s="10" t="str">
        <x:v>钣金制造件</x:v>
      </x:c>
      <x:c r="D39" s="12" t="n">
        <x:v>2</x:v>
      </x:c>
      <x:c r="E39" s="10" t="str">
        <x:v>件</x:v>
      </x:c>
      <x:c r="F39" s="10" t="str">
        <x:v>30×12×18.3；T1.5</x:v>
      </x:c>
      <x:c r="G39" s="10" t="str">
        <x:v>S10CDE / 20</x:v>
      </x:c>
      <x:c r="H39" s="10" t="str">
        <x:v>A08</x:v>
      </x:c>
    </x:row>
    <x:row r="40" ht="42" customHeight="1">
      <x:c r="A40" s="9" t="str">
        <x:v>E01</x:v>
      </x:c>
      <x:c r="B40" s="9" t="str">
        <x:v>桌面三位五孔+3USB排插</x:v>
      </x:c>
      <x:c r="C40" s="9" t="str">
        <x:v>电气采购</x:v>
      </x:c>
      <x:c r="D40" s="11" t="n">
        <x:v>2</x:v>
      </x:c>
      <x:c r="E40" s="9" t="str">
        <x:v>个</x:v>
      </x:c>
      <x:c r="F40" s="9" t="str">
        <x:v>每盒1个；公牛UU3653候选(1A+2C)</x:v>
      </x:c>
      <x:c r="G40" s="9" t="str">
        <x:v>E02 / 22</x:v>
      </x:c>
      <x:c r="H40" s="9" t="str">
        <x:v>A04</x:v>
      </x:c>
    </x:row>
    <x:row r="41" ht="42" customHeight="1">
      <x:c r="A41" s="10" t="str">
        <x:v>E02</x:v>
      </x:c>
      <x:c r="B41" s="10" t="str">
        <x:v>桌肚八位五孔排插</x:v>
      </x:c>
      <x:c r="C41" s="10" t="str">
        <x:v>电气采购</x:v>
      </x:c>
      <x:c r="D41" s="12" t="n">
        <x:v>2</x:v>
      </x:c>
      <x:c r="E41" s="10" t="str">
        <x:v>个</x:v>
      </x:c>
      <x:c r="F41" s="10" t="str">
        <x:v>公牛GN-604候选；每门1个</x:v>
      </x:c>
      <x:c r="G41" s="10" t="str">
        <x:v>E02 / 22</x:v>
      </x:c>
      <x:c r="H41" s="10" t="str">
        <x:v>S07</x:v>
      </x:c>
    </x:row>
    <x:row r="42" ht="42" customHeight="1">
      <x:c r="A42" s="9" t="str">
        <x:v>E03</x:v>
      </x:c>
      <x:c r="B42" s="9" t="str">
        <x:v>明装安全五孔插座</x:v>
      </x:c>
      <x:c r="C42" s="9" t="str">
        <x:v>电气采购</x:v>
      </x:c>
      <x:c r="D42" s="11" t="n">
        <x:v>1</x:v>
      </x:c>
      <x:c r="E42" s="9" t="str">
        <x:v>个</x:v>
      </x:c>
      <x:c r="F42" s="9" t="str">
        <x:v>10A接地安全型；NEW1-C11100A候选</x:v>
      </x:c>
      <x:c r="G42" s="9" t="str">
        <x:v>E02 / 22</x:v>
      </x:c>
      <x:c r="H42" s="9" t="str">
        <x:v>A01</x:v>
      </x:c>
    </x:row>
    <x:row r="43" ht="42" customHeight="1">
      <x:c r="A43" s="10" t="str">
        <x:v>E04</x:v>
      </x:c>
      <x:c r="B43" s="10" t="str">
        <x:v>三芯内部分支线束</x:v>
      </x:c>
      <x:c r="C43" s="10" t="str">
        <x:v>电气辅材</x:v>
      </x:c>
      <x:c r="D43" s="12"/>
      <x:c r="E43" s="10" t="str">
        <x:v>m</x:v>
      </x:c>
      <x:c r="F43" s="10" t="str">
        <x:v>3×1.5mm²；W00/W1~W5</x:v>
      </x:c>
      <x:c r="G43" s="10" t="str">
        <x:v>E02 / 22</x:v>
      </x:c>
      <x:c r="H43" s="10" t="str">
        <x:v>A01</x:v>
      </x:c>
    </x:row>
    <x:row r="44" ht="42" customHeight="1">
      <x:c r="A44" s="9" t="str">
        <x:v>E05</x:v>
      </x:c>
      <x:c r="B44" s="9" t="str">
        <x:v>桌肚过线保护管</x:v>
      </x:c>
      <x:c r="C44" s="9" t="str">
        <x:v>电气辅材</x:v>
      </x:c>
      <x:c r="D44" s="11"/>
      <x:c r="E44" s="9" t="str">
        <x:v>m</x:v>
      </x:c>
      <x:c r="F44" s="9" t="str">
        <x:v>实际外径≤25；本版过梁层净34</x:v>
      </x:c>
      <x:c r="G44" s="9" t="str">
        <x:v>E02 / 22</x:v>
      </x:c>
      <x:c r="H44" s="9" t="str">
        <x:v>A01</x:v>
      </x:c>
    </x:row>
    <x:row r="45" ht="42" customHeight="1">
      <x:c r="A45" s="10" t="str">
        <x:v>E06</x:v>
      </x:c>
      <x:c r="B45" s="10" t="str">
        <x:v>绝缘套管及线号配套</x:v>
      </x:c>
      <x:c r="C45" s="10" t="str">
        <x:v>电气辅材</x:v>
      </x:c>
      <x:c r="D45" s="12" t="n">
        <x:v>1</x:v>
      </x:c>
      <x:c r="E45" s="10" t="str">
        <x:v>套</x:v>
      </x:c>
      <x:c r="F45" s="10" t="str">
        <x:v>黄腊管/热缩管、永久线号</x:v>
      </x:c>
      <x:c r="G45" s="10" t="str">
        <x:v>E02 / 22</x:v>
      </x:c>
      <x:c r="H45" s="10" t="str">
        <x:v>A01</x:v>
      </x:c>
    </x:row>
    <x:row r="46" ht="42" customHeight="1">
      <x:c r="A46" s="9" t="str">
        <x:v>E07</x:v>
      </x:c>
      <x:c r="B46" s="9" t="str">
        <x:v>中央成品分线盒与内板</x:v>
      </x:c>
      <x:c r="C46" s="9" t="str">
        <x:v>电气采购</x:v>
      </x:c>
      <x:c r="D46" s="11" t="n">
        <x:v>1</x:v>
      </x:c>
      <x:c r="E46" s="9" t="str">
        <x:v>套</x:v>
      </x:c>
      <x:c r="F46" s="9" t="str">
        <x:v>1557HA2GY箱体＋1557HPL内板各1</x:v>
      </x:c>
      <x:c r="G46" s="9" t="str">
        <x:v>E02 / 22</x:v>
      </x:c>
      <x:c r="H46" s="9" t="str">
        <x:v>S10B</x:v>
      </x:c>
    </x:row>
    <x:row r="47" ht="42" customHeight="1">
      <x:c r="A47" s="10" t="str">
        <x:v>E08</x:v>
      </x:c>
      <x:c r="B47" s="10" t="str">
        <x:v>排插独立固定分支插座</x:v>
      </x:c>
      <x:c r="C47" s="10" t="str">
        <x:v>电气采购</x:v>
      </x:c>
      <x:c r="D47" s="12" t="n">
        <x:v>4</x:v>
      </x:c>
      <x:c r="E47" s="10" t="str">
        <x:v>只</x:v>
      </x:c>
      <x:c r="F47" s="10" t="str">
        <x:v>X1~X4；10A接地型，GN-N1110候选</x:v>
      </x:c>
      <x:c r="G47" s="10" t="str">
        <x:v>E02 / 22</x:v>
      </x:c>
      <x:c r="H47" s="10" t="str">
        <x:v>A01</x:v>
      </x:c>
    </x:row>
    <x:row r="48" ht="42" customHeight="1">
      <x:c r="A48" s="9" t="str">
        <x:v>E10</x:v>
      </x:c>
      <x:c r="B48" s="9" t="str">
        <x:v>单腿引出国标16A厂制电源线</x:v>
      </x:c>
      <x:c r="C48" s="9" t="str">
        <x:v>电气采购</x:v>
      </x:c>
      <x:c r="D48" s="11" t="n">
        <x:v>1</x:v>
      </x:c>
      <x:c r="E48" s="9" t="str">
        <x:v>条</x:v>
      </x:c>
      <x:c r="F48" s="9" t="str">
        <x:v>3×1.5mm² RVV、CCC、黑色；总长建议4.0m，插头模制/盒端自由线</x:v>
      </x:c>
      <x:c r="G48" s="9" t="str">
        <x:v>E02 / 22</x:v>
      </x:c>
      <x:c r="H48" s="9" t="str">
        <x:v>A01</x:v>
      </x:c>
    </x:row>
    <x:row r="49" ht="42" customHeight="1">
      <x:c r="A49" s="10" t="str">
        <x:v>E11</x:v>
      </x:c>
      <x:c r="B49" s="10" t="str">
        <x:v>L灰色直通端子</x:v>
      </x:c>
      <x:c r="C49" s="10" t="str">
        <x:v>电气采购</x:v>
      </x:c>
      <x:c r="D49" s="12" t="n">
        <x:v>6</x:v>
      </x:c>
      <x:c r="E49" s="10" t="str">
        <x:v>只</x:v>
      </x:c>
      <x:c r="F49" s="10" t="str">
        <x:v>WAGO2002-1201；XL0~XL5</x:v>
      </x:c>
      <x:c r="G49" s="10" t="str">
        <x:v>E02 / 22</x:v>
      </x:c>
      <x:c r="H49" s="10" t="str">
        <x:v>A01</x:v>
      </x:c>
    </x:row>
    <x:row r="50" ht="42" customHeight="1">
      <x:c r="A50" s="9" t="str">
        <x:v>E12</x:v>
      </x:c>
      <x:c r="B50" s="9" t="str">
        <x:v>N蓝色直通端子</x:v>
      </x:c>
      <x:c r="C50" s="9" t="str">
        <x:v>电气采购</x:v>
      </x:c>
      <x:c r="D50" s="11" t="n">
        <x:v>6</x:v>
      </x:c>
      <x:c r="E50" s="9" t="str">
        <x:v>只</x:v>
      </x:c>
      <x:c r="F50" s="9" t="str">
        <x:v>WAGO2002-1204；XN0~XN5</x:v>
      </x:c>
      <x:c r="G50" s="9" t="str">
        <x:v>E02 / 22</x:v>
      </x:c>
      <x:c r="H50" s="9" t="str">
        <x:v>A01</x:v>
      </x:c>
    </x:row>
    <x:row r="51" ht="42" customHeight="1">
      <x:c r="A51" s="10" t="str">
        <x:v>E13</x:v>
      </x:c>
      <x:c r="B51" s="10" t="str">
        <x:v>黄绿PE端子</x:v>
      </x:c>
      <x:c r="C51" s="10" t="str">
        <x:v>电气采购</x:v>
      </x:c>
      <x:c r="D51" s="12" t="n">
        <x:v>7</x:v>
      </x:c>
      <x:c r="E51" s="10" t="str">
        <x:v>只</x:v>
      </x:c>
      <x:c r="F51" s="10" t="str">
        <x:v>WAGO2002-1207；XPE0~XPE6</x:v>
      </x:c>
      <x:c r="G51" s="10" t="str">
        <x:v>E02 / 22</x:v>
      </x:c>
      <x:c r="H51" s="10" t="str">
        <x:v>A01</x:v>
      </x:c>
    </x:row>
    <x:row r="52" ht="42" customHeight="1">
      <x:c r="A52" s="9" t="str">
        <x:v>E14</x:v>
      </x:c>
      <x:c r="B52" s="9" t="str">
        <x:v>六位连续跨接桥</x:v>
      </x:c>
      <x:c r="C52" s="9" t="str">
        <x:v>电气采购</x:v>
      </x:c>
      <x:c r="D52" s="11" t="n">
        <x:v>2</x:v>
      </x:c>
      <x:c r="E52" s="9" t="str">
        <x:v>根</x:v>
      </x:c>
      <x:c r="F52" s="9" t="str">
        <x:v>WAGO2002-406；L/N各1根</x:v>
      </x:c>
      <x:c r="G52" s="9" t="str">
        <x:v>E02 / 22</x:v>
      </x:c>
      <x:c r="H52" s="9" t="str">
        <x:v>A01</x:v>
      </x:c>
    </x:row>
    <x:row r="53" ht="42" customHeight="1">
      <x:c r="A53" s="10" t="str">
        <x:v>E15</x:v>
      </x:c>
      <x:c r="B53" s="10" t="str">
        <x:v>导轨端挡与绝缘端板</x:v>
      </x:c>
      <x:c r="C53" s="10" t="str">
        <x:v>电气辅材</x:v>
      </x:c>
      <x:c r="D53" s="12" t="n">
        <x:v>1</x:v>
      </x:c>
      <x:c r="E53" s="10" t="str">
        <x:v>套</x:v>
      </x:c>
      <x:c r="F53" s="10" t="str">
        <x:v>210-112轨；249-116×2/2002-1291×3</x:v>
      </x:c>
      <x:c r="G53" s="10" t="str">
        <x:v>E02 / 22</x:v>
      </x:c>
      <x:c r="H53" s="10" t="str">
        <x:v>A01</x:v>
      </x:c>
    </x:row>
    <x:row r="54" ht="42" customHeight="1">
      <x:c r="A54" s="9" t="str">
        <x:v>E16</x:v>
      </x:c>
      <x:c r="B54" s="9" t="str">
        <x:v>金属件保护连接配套</x:v>
      </x:c>
      <x:c r="C54" s="9" t="str">
        <x:v>电气辅材</x:v>
      </x:c>
      <x:c r="D54" s="11" t="n">
        <x:v>1</x:v>
      </x:c>
      <x:c r="E54" s="9" t="str">
        <x:v>套</x:v>
      </x:c>
      <x:c r="F54" s="9" t="str">
        <x:v>7条2.5黄绿线；FV2-5×11/FV2-4×2</x:v>
      </x:c>
      <x:c r="G54" s="9" t="str">
        <x:v>E02 / 22</x:v>
      </x:c>
      <x:c r="H54" s="9" t="str">
        <x:v>A01</x:v>
      </x:c>
    </x:row>
    <x:row r="55" ht="42" customHeight="1">
      <x:c r="A55" s="10" t="str">
        <x:v>E17</x:v>
      </x:c>
      <x:c r="B55" s="10" t="str">
        <x:v>单腿入口护口与近C防拉脱配套</x:v>
      </x:c>
      <x:c r="C55" s="10" t="str">
        <x:v>电气辅材</x:v>
      </x:c>
      <x:c r="D55" s="12" t="n">
        <x:v>1</x:v>
      </x:c>
      <x:c r="E55" s="10" t="str">
        <x:v>套</x:v>
      </x:c>
      <x:c r="F55" s="10" t="str">
        <x:v>腿底Heyco2053/Φ12.7；近C Phoenix Contact 1411133+1411215/Φ20.1-20.2</x:v>
      </x:c>
      <x:c r="G55" s="10" t="str">
        <x:v>E02 / 22</x:v>
      </x:c>
      <x:c r="H55" s="10" t="str">
        <x:v>A01</x:v>
      </x:c>
    </x:row>
    <x:row r="56" ht="42" customHeight="1">
      <x:c r="A56" s="9" t="str">
        <x:v>E21</x:v>
      </x:c>
      <x:c r="B56" s="9" t="str">
        <x:v>中央组件柔性PE线</x:v>
      </x:c>
      <x:c r="C56" s="9" t="str">
        <x:v>电气采购</x:v>
      </x:c>
      <x:c r="D56" s="11" t="n">
        <x:v>2</x:v>
      </x:c>
      <x:c r="E56" s="9" t="str">
        <x:v>根</x:v>
      </x:c>
      <x:c r="F56" s="9" t="str">
        <x:v>黄绿铜软线2.5mm²；长度待实测</x:v>
      </x:c>
      <x:c r="G56" s="9" t="str">
        <x:v>E02 / 22</x:v>
      </x:c>
      <x:c r="H56" s="9" t="str">
        <x:v>A01</x:v>
      </x:c>
    </x:row>
    <x:row r="57" ht="42" customHeight="1">
      <x:c r="A57" s="10" t="str">
        <x:v>E22</x:v>
      </x:c>
      <x:c r="B57" s="10" t="str">
        <x:v>中央PE移动端M4环端子</x:v>
      </x:c>
      <x:c r="C57" s="10" t="str">
        <x:v>电气采购</x:v>
      </x:c>
      <x:c r="D57" s="12" t="n">
        <x:v>2</x:v>
      </x:c>
      <x:c r="E57" s="10" t="str">
        <x:v>只</x:v>
      </x:c>
      <x:c r="F57" s="10" t="str">
        <x:v>JST FV2-4；适1.04~2.63mm²</x:v>
      </x:c>
      <x:c r="G57" s="10" t="str">
        <x:v>E02 / 22</x:v>
      </x:c>
      <x:c r="H57" s="10" t="str">
        <x:v>A01</x:v>
      </x:c>
    </x:row>
    <x:row r="58" ht="42" customHeight="1">
      <x:c r="A58" s="9" t="str">
        <x:v>E23</x:v>
      </x:c>
      <x:c r="B58" s="9" t="str">
        <x:v>中央PE固定端M5环端子</x:v>
      </x:c>
      <x:c r="C58" s="9" t="str">
        <x:v>电气采购</x:v>
      </x:c>
      <x:c r="D58" s="11" t="n">
        <x:v>2</x:v>
      </x:c>
      <x:c r="E58" s="9" t="str">
        <x:v>只</x:v>
      </x:c>
      <x:c r="F58" s="9" t="str">
        <x:v>JST FV2-5；适1.04~2.63mm²</x:v>
      </x:c>
      <x:c r="G58" s="9" t="str">
        <x:v>E02 / 22</x:v>
      </x:c>
      <x:c r="H58" s="9" t="str">
        <x:v>A01</x:v>
      </x:c>
    </x:row>
    <x:row r="59" ht="42" customHeight="1">
      <x:c r="A59" s="10" t="str">
        <x:v>E24</x:v>
      </x:c>
      <x:c r="B59" s="10" t="str">
        <x:v>中央组件PE专用紧固件</x:v>
      </x:c>
      <x:c r="C59" s="10" t="str">
        <x:v>电气采购</x:v>
      </x:c>
      <x:c r="D59" s="12" t="n">
        <x:v>2</x:v>
      </x:c>
      <x:c r="E59" s="10" t="str">
        <x:v>套</x:v>
      </x:c>
      <x:c r="F59" s="10" t="str">
        <x:v>M4×10螺钉+平/齿形垫+防松螺母</x:v>
      </x:c>
      <x:c r="G59" s="10" t="str">
        <x:v>E02 / 22</x:v>
      </x:c>
      <x:c r="H59" s="10" t="str">
        <x:v>A01</x:v>
      </x:c>
    </x:row>
    <x:row r="60" ht="42" customHeight="1">
      <x:c r="A60" s="9" t="str">
        <x:v>H01</x:v>
      </x:c>
      <x:c r="B60" s="9" t="str">
        <x:v>薄型调节脚</x:v>
      </x:c>
      <x:c r="C60" s="9" t="str">
        <x:v>采购五金</x:v>
      </x:c>
      <x:c r="D60" s="11" t="n">
        <x:v>8</x:v>
      </x:c>
      <x:c r="E60" s="9" t="str">
        <x:v>只</x:v>
      </x:c>
      <x:c r="F60" s="9" t="str">
        <x:v>底φ20；M8×1.25；螺杆长15；底高6；总高21</x:v>
      </x:c>
      <x:c r="G60" s="9" t="str">
        <x:v>A04 / 3</x:v>
      </x:c>
      <x:c r="H60" s="9" t="str">
        <x:v>A07</x:v>
      </x:c>
    </x:row>
    <x:row r="61" ht="42" customHeight="1">
      <x:c r="A61" s="10" t="str">
        <x:v>H02</x:v>
      </x:c>
      <x:c r="B61" s="10" t="str">
        <x:v>M8六角焊接螺母</x:v>
      </x:c>
      <x:c r="C61" s="10" t="str">
        <x:v>采购五金</x:v>
      </x:c>
      <x:c r="D61" s="12" t="n">
        <x:v>8</x:v>
      </x:c>
      <x:c r="E61" s="10" t="str">
        <x:v>只</x:v>
      </x:c>
      <x:c r="F61" s="10" t="str">
        <x:v>M8×1.25；对边14；螺母厚6.5；定位凸台径10.45最大</x:v>
      </x:c>
      <x:c r="G61" s="10" t="str">
        <x:v>A04 / 3</x:v>
      </x:c>
      <x:c r="H61" s="10" t="str">
        <x:v>S03C</x:v>
      </x:c>
    </x:row>
    <x:row r="62" ht="42" customHeight="1">
      <x:c r="A62" s="9" t="str">
        <x:v>H03</x:v>
      </x:c>
      <x:c r="B62" s="9" t="str">
        <x:v>检修门可脱卸合页</x:v>
      </x:c>
      <x:c r="C62" s="9" t="str">
        <x:v>采购五金</x:v>
      </x:c>
      <x:c r="D62" s="11" t="n">
        <x:v>4</x:v>
      </x:c>
      <x:c r="E62" s="9" t="str">
        <x:v>只</x:v>
      </x:c>
      <x:c r="F62" s="9" t="str">
        <x:v>展开50×75×T1.5；4×φ3.8；孔距38×63.5；轴径6；厚向包络9.5</x:v>
      </x:c>
      <x:c r="G62" s="9" t="str">
        <x:v>A04 / 3</x:v>
      </x:c>
      <x:c r="H62" s="9" t="str">
        <x:v>S07</x:v>
      </x:c>
    </x:row>
    <x:row r="63" ht="42" customHeight="1">
      <x:c r="A63" s="10" t="str">
        <x:v>H04</x:v>
      </x:c>
      <x:c r="B63" s="10" t="str">
        <x:v>直槽工具转舌锁（完整套件）</x:v>
      </x:c>
      <x:c r="C63" s="10" t="str">
        <x:v>采购五金</x:v>
      </x:c>
      <x:c r="D63" s="12" t="n">
        <x:v>2</x:v>
      </x:c>
      <x:c r="E63" s="10" t="str">
        <x:v>套</x:v>
      </x:c>
      <x:c r="F63" s="10" t="str">
        <x:v>面头φ28×4；开孔φ22.5与20.1方形交集；GH18；H19.5；锁舌35×20×T3（35为轴心至端）</x:v>
      </x:c>
      <x:c r="G63" s="10" t="str">
        <x:v>A04 / 3</x:v>
      </x:c>
      <x:c r="H63" s="10" t="str">
        <x:v>S07</x:v>
      </x:c>
    </x:row>
    <x:row r="64" ht="42" customHeight="1">
      <x:c r="A64" s="9" t="str">
        <x:v>H05</x:v>
      </x:c>
      <x:c r="B64" s="9" t="str">
        <x:v>排插滑拆固定器组</x:v>
      </x:c>
      <x:c r="C64" s="9" t="str">
        <x:v>采购五金</x:v>
      </x:c>
      <x:c r="D64" s="11" t="n">
        <x:v>2</x:v>
      </x:c>
      <x:c r="E64" s="9" t="str">
        <x:v>组</x:v>
      </x:c>
      <x:c r="F64" s="9" t="str">
        <x:v>每门2套滑拆固定器；包装尺寸99.5×45×9.2非工程外形</x:v>
      </x:c>
      <x:c r="G64" s="9" t="str">
        <x:v>A04 / 3</x:v>
      </x:c>
      <x:c r="H64" s="9" t="str">
        <x:v>S07</x:v>
      </x:c>
    </x:row>
    <x:row r="65" ht="42" customHeight="1">
      <x:c r="A65" s="10" t="str">
        <x:v>H06</x:v>
      </x:c>
      <x:c r="B65" s="10" t="str">
        <x:v>承托盒白色穿线护口</x:v>
      </x:c>
      <x:c r="C65" s="10" t="str">
        <x:v>采购五金</x:v>
      </x:c>
      <x:c r="D65" s="12" t="n">
        <x:v>2</x:v>
      </x:c>
      <x:c r="E65" s="10" t="str">
        <x:v>只</x:v>
      </x:c>
      <x:c r="F65" s="10" t="str">
        <x:v>φ50安装孔；两件式；经销规格入孔深22</x:v>
      </x:c>
      <x:c r="G65" s="10" t="str">
        <x:v>A04 / 3</x:v>
      </x:c>
      <x:c r="H65" s="10" t="str">
        <x:v>W03A</x:v>
      </x:c>
    </x:row>
    <x:row r="66" ht="42" customHeight="1">
      <x:c r="A66" s="9" t="str">
        <x:v>H07</x:v>
      </x:c>
      <x:c r="B66" s="9" t="str">
        <x:v>侧埋十字暗铰</x:v>
      </x:c>
      <x:c r="C66" s="9" t="str">
        <x:v>采购五金</x:v>
      </x:c>
      <x:c r="D66" s="11" t="n">
        <x:v>8</x:v>
      </x:c>
      <x:c r="E66" s="9" t="str">
        <x:v>只</x:v>
      </x:c>
      <x:c r="F66" s="9" t="str">
        <x:v>SOSS 101CUS26D；8只</x:v>
      </x:c>
      <x:c r="G66" s="9" t="str">
        <x:v>D02 / 6</x:v>
      </x:c>
      <x:c r="H66" s="9" t="str">
        <x:v>A03</x:v>
      </x:c>
    </x:row>
    <x:row r="67" ht="42" customHeight="1">
      <x:c r="A67" s="10" t="str">
        <x:v>H09</x:v>
      </x:c>
      <x:c r="B67" s="10" t="str">
        <x:v>桌面M6机螺钉</x:v>
      </x:c>
      <x:c r="C67" s="10" t="str">
        <x:v>采购五金</x:v>
      </x:c>
      <x:c r="D67" s="12" t="n">
        <x:v>8</x:v>
      </x:c>
      <x:c r="E67" s="10" t="str">
        <x:v>只</x:v>
      </x:c>
      <x:c r="F67" s="10" t="str">
        <x:v>M6×1；公称杆长12；配平垫6.4×12×1.6</x:v>
      </x:c>
      <x:c r="G67" s="10" t="str">
        <x:v>A04 / 3</x:v>
      </x:c>
      <x:c r="H67" s="10" t="str">
        <x:v>A03</x:v>
      </x:c>
    </x:row>
    <x:row r="68" ht="42" customHeight="1">
      <x:c r="A68" s="9" t="str">
        <x:v>H10</x:v>
      </x:c>
      <x:c r="B68" s="9" t="str">
        <x:v>桌面M6木用嵌入螺母</x:v>
      </x:c>
      <x:c r="C68" s="9" t="str">
        <x:v>采购五金</x:v>
      </x:c>
      <x:c r="D68" s="11" t="n">
        <x:v>8</x:v>
      </x:c>
      <x:c r="E68" s="9" t="str">
        <x:v>只</x:v>
      </x:c>
      <x:c r="F68" s="9" t="str">
        <x:v>外径12；L12；内牙M6；内六角SW6；厂家底孔10.0~10.5</x:v>
      </x:c>
      <x:c r="G68" s="9" t="str">
        <x:v>A04 / 3</x:v>
      </x:c>
      <x:c r="H68" s="9" t="str">
        <x:v>W01</x:v>
      </x:c>
    </x:row>
    <x:row r="69" ht="42" customHeight="1">
      <x:c r="A69" s="10" t="str">
        <x:v>H11</x:v>
      </x:c>
      <x:c r="B69" s="10" t="str">
        <x:v>M6平垫圈</x:v>
      </x:c>
      <x:c r="C69" s="10" t="str">
        <x:v>采购五金</x:v>
      </x:c>
      <x:c r="D69" s="12" t="n">
        <x:v>8</x:v>
      </x:c>
      <x:c r="E69" s="10" t="str">
        <x:v>只</x:v>
      </x:c>
      <x:c r="F69" s="10" t="str">
        <x:v>φ6.4×φ12×T1.6</x:v>
      </x:c>
      <x:c r="G69" s="10" t="str">
        <x:v>A04 / 3</x:v>
      </x:c>
      <x:c r="H69" s="10" t="str">
        <x:v>A03</x:v>
      </x:c>
    </x:row>
    <x:row r="70" ht="42" customHeight="1">
      <x:c r="A70" s="9" t="str">
        <x:v>H12</x:v>
      </x:c>
      <x:c r="B70" s="9" t="str">
        <x:v>检修门合页螺钉配套</x:v>
      </x:c>
      <x:c r="C70" s="9" t="str">
        <x:v>采购五金</x:v>
      </x:c>
      <x:c r="D70" s="11" t="n">
        <x:v>16</x:v>
      </x:c>
      <x:c r="E70" s="9" t="str">
        <x:v>套</x:v>
      </x:c>
      <x:c r="F70" s="9" t="str">
        <x:v>M3×0.5×8；每合页4套</x:v>
      </x:c>
      <x:c r="G70" s="9" t="str">
        <x:v>A04 / 3</x:v>
      </x:c>
      <x:c r="H70" s="9" t="str">
        <x:v>S07</x:v>
      </x:c>
    </x:row>
    <x:row r="71" ht="42" customHeight="1">
      <x:c r="A71" s="10" t="str">
        <x:v>H13</x:v>
      </x:c>
      <x:c r="B71" s="10" t="str">
        <x:v>检修盖及吊板防脱螺钉</x:v>
      </x:c>
      <x:c r="C71" s="10" t="str">
        <x:v>采购五金</x:v>
      </x:c>
      <x:c r="D71" s="12" t="n">
        <x:v>8</x:v>
      </x:c>
      <x:c r="E71" s="10" t="str">
        <x:v>只</x:v>
      </x:c>
      <x:c r="F71" s="10" t="str">
        <x:v>M5×0.8；杆长8；末端牙长4；颈径3.9；头φ8.5×5；内六角4</x:v>
      </x:c>
      <x:c r="G71" s="10" t="str">
        <x:v>A04 / 3</x:v>
      </x:c>
      <x:c r="H71" s="10" t="str">
        <x:v>A04</x:v>
      </x:c>
    </x:row>
    <x:row r="72" ht="42" customHeight="1">
      <x:c r="A72" s="9" t="str">
        <x:v>H25</x:v>
      </x:c>
      <x:c r="B72" s="9" t="str">
        <x:v>分体穿线护圈</x:v>
      </x:c>
      <x:c r="C72" s="9" t="str">
        <x:v>采购五金</x:v>
      </x:c>
      <x:c r="D72" s="11" t="n">
        <x:v>20</x:v>
      </x:c>
      <x:c r="E72" s="9" t="str">
        <x:v>只</x:v>
      </x:c>
      <x:c r="F72" s="9" t="str">
        <x:v>Sugatsune CHC-S18BL；20只</x:v>
      </x:c>
      <x:c r="G72" s="9" t="str">
        <x:v>D02 / 6</x:v>
      </x:c>
      <x:c r="H72" s="9" t="str">
        <x:v>A06</x:v>
      </x:c>
    </x:row>
    <x:row r="73" ht="42" customHeight="1">
      <x:c r="A73" s="10" t="str">
        <x:v>H26</x:v>
      </x:c>
      <x:c r="B73" s="10" t="str">
        <x:v>可拔齐平孔盖</x:v>
      </x:c>
      <x:c r="C73" s="10" t="str">
        <x:v>采购五金</x:v>
      </x:c>
      <x:c r="D73" s="12" t="n">
        <x:v>10</x:v>
      </x:c>
      <x:c r="E73" s="10" t="str">
        <x:v>只</x:v>
      </x:c>
      <x:c r="F73" s="10" t="str">
        <x:v>Häfele 045.00.332；10只</x:v>
      </x:c>
      <x:c r="G73" s="10" t="str">
        <x:v>D02 / 6</x:v>
      </x:c>
      <x:c r="H73" s="10" t="str">
        <x:v>A06</x:v>
      </x:c>
    </x:row>
    <x:row r="74" ht="42" customHeight="1">
      <x:c r="A74" s="9" t="str">
        <x:v>H14</x:v>
      </x:c>
      <x:c r="B74" s="9" t="str">
        <x:v>检修盖及吊板M5焊接螺母</x:v>
      </x:c>
      <x:c r="C74" s="9" t="str">
        <x:v>采购五金</x:v>
      </x:c>
      <x:c r="D74" s="11" t="n">
        <x:v>8</x:v>
      </x:c>
      <x:c r="E74" s="9" t="str">
        <x:v>只</x:v>
      </x:c>
      <x:c r="F74" s="9" t="str">
        <x:v>M5×0.8；对边10；厚4；定位凸台6.96最大</x:v>
      </x:c>
      <x:c r="G74" s="9" t="str">
        <x:v>A04 / 3</x:v>
      </x:c>
      <x:c r="H74" s="9" t="str">
        <x:v>A04</x:v>
      </x:c>
    </x:row>
    <x:row r="75" ht="42" customHeight="1">
      <x:c r="A75" s="10" t="str">
        <x:v>H15</x:v>
      </x:c>
      <x:c r="B75" s="10" t="str">
        <x:v>横梁M6连接螺钉配套</x:v>
      </x:c>
      <x:c r="C75" s="10" t="str">
        <x:v>采购五金</x:v>
      </x:c>
      <x:c r="D75" s="12" t="n">
        <x:v>16</x:v>
      </x:c>
      <x:c r="E75" s="10" t="str">
        <x:v>套</x:v>
      </x:c>
      <x:c r="F75" s="10" t="str">
        <x:v>M6×20；头下垫6.4×12×T1.6；每套各1</x:v>
      </x:c>
      <x:c r="G75" s="10" t="str">
        <x:v>A04 / 3</x:v>
      </x:c>
      <x:c r="H75" s="10" t="str">
        <x:v>S09A</x:v>
      </x:c>
    </x:row>
    <x:row r="76" ht="42" customHeight="1">
      <x:c r="A76" s="9" t="str">
        <x:v>H16</x:v>
      </x:c>
      <x:c r="B76" s="9" t="str">
        <x:v>横梁M6焊接螺母</x:v>
      </x:c>
      <x:c r="C76" s="9" t="str">
        <x:v>采购五金</x:v>
      </x:c>
      <x:c r="D76" s="11" t="n">
        <x:v>16</x:v>
      </x:c>
      <x:c r="E76" s="9" t="str">
        <x:v>只</x:v>
      </x:c>
      <x:c r="F76" s="9" t="str">
        <x:v>M6×1；对边11；厚5；定位凸台7.96最大</x:v>
      </x:c>
      <x:c r="G76" s="9" t="str">
        <x:v>A04 / 3</x:v>
      </x:c>
      <x:c r="H76" s="9" t="str">
        <x:v>S09A</x:v>
      </x:c>
    </x:row>
    <x:row r="77" ht="42" customHeight="1">
      <x:c r="A77" s="10" t="str">
        <x:v>H17</x:v>
      </x:c>
      <x:c r="B77" s="10" t="str">
        <x:v>承托盒M4连接螺钉配套</x:v>
      </x:c>
      <x:c r="C77" s="10" t="str">
        <x:v>采购五金</x:v>
      </x:c>
      <x:c r="D77" s="12" t="n">
        <x:v>8</x:v>
      </x:c>
      <x:c r="E77" s="10" t="str">
        <x:v>套</x:v>
      </x:c>
      <x:c r="F77" s="10" t="str">
        <x:v>M4×25；每套1螺钉1平垫</x:v>
      </x:c>
      <x:c r="G77" s="10" t="str">
        <x:v>A04 / 3</x:v>
      </x:c>
      <x:c r="H77" s="10" t="str">
        <x:v>S09C</x:v>
      </x:c>
    </x:row>
    <x:row r="78" ht="42" customHeight="1">
      <x:c r="A78" s="9" t="str">
        <x:v>H18</x:v>
      </x:c>
      <x:c r="B78" s="9" t="str">
        <x:v>承托盒M4焊接螺母</x:v>
      </x:c>
      <x:c r="C78" s="9" t="str">
        <x:v>采购五金</x:v>
      </x:c>
      <x:c r="D78" s="11" t="n">
        <x:v>8</x:v>
      </x:c>
      <x:c r="E78" s="9" t="str">
        <x:v>只</x:v>
      </x:c>
      <x:c r="F78" s="9" t="str">
        <x:v>M4×0.7；对边9；厚3.5；定位凸台5.97最大</x:v>
      </x:c>
      <x:c r="G78" s="9" t="str">
        <x:v>A04 / 3</x:v>
      </x:c>
      <x:c r="H78" s="9" t="str">
        <x:v>S09C</x:v>
      </x:c>
    </x:row>
    <x:row r="79" ht="42" customHeight="1">
      <x:c r="A79" s="10" t="str">
        <x:v>H19</x:v>
      </x:c>
      <x:c r="B79" s="10" t="str">
        <x:v>翻盖独立承托角码</x:v>
      </x:c>
      <x:c r="C79" s="10" t="str">
        <x:v>采购五金</x:v>
      </x:c>
      <x:c r="D79" s="12" t="n">
        <x:v>8</x:v>
      </x:c>
      <x:c r="E79" s="10" t="str">
        <x:v>只</x:v>
      </x:c>
      <x:c r="F79" s="10" t="str">
        <x:v>30×30×宽12×T2.5；4×φ3.5沉φ6.5；两面孔距直角基准11/24</x:v>
      </x:c>
      <x:c r="G79" s="10" t="str">
        <x:v>A03 / 2</x:v>
      </x:c>
      <x:c r="H79" s="10" t="str">
        <x:v>A03</x:v>
      </x:c>
    </x:row>
    <x:row r="80" ht="42" customHeight="1">
      <x:c r="A80" s="9" t="str">
        <x:v>H20</x:v>
      </x:c>
      <x:c r="B80" s="9" t="str">
        <x:v>角码木螺钉</x:v>
      </x:c>
      <x:c r="C80" s="9" t="str">
        <x:v>采购五金</x:v>
      </x:c>
      <x:c r="D80" s="11" t="n">
        <x:v>16</x:v>
      </x:c>
      <x:c r="E80" s="9" t="str">
        <x:v>只</x:v>
      </x:c>
      <x:c r="F80" s="9" t="str">
        <x:v>每角码竖面2只；杆φ3、长12</x:v>
      </x:c>
      <x:c r="G80" s="9" t="str">
        <x:v>A03 / 2</x:v>
      </x:c>
      <x:c r="H80" s="9" t="str">
        <x:v>A03</x:v>
      </x:c>
    </x:row>
    <x:row r="81" ht="42" customHeight="1">
      <x:c r="A81" s="10" t="str">
        <x:v>H21</x:v>
      </x:c>
      <x:c r="B81" s="10" t="str">
        <x:v>角码软垫</x:v>
      </x:c>
      <x:c r="C81" s="10" t="str">
        <x:v>采购五金</x:v>
      </x:c>
      <x:c r="D81" s="12" t="n">
        <x:v>8</x:v>
      </x:c>
      <x:c r="E81" s="10" t="str">
        <x:v>片</x:v>
      </x:c>
      <x:c r="F81" s="10" t="str">
        <x:v>实心EPDM片200×300×T2，胶另约0.22~0.24；裁8片24×12</x:v>
      </x:c>
      <x:c r="G81" s="10" t="str">
        <x:v>A03 / 2</x:v>
      </x:c>
      <x:c r="H81" s="10" t="str">
        <x:v>A03</x:v>
      </x:c>
    </x:row>
    <x:row r="82" ht="42" customHeight="1">
      <x:c r="A82" s="9" t="str">
        <x:v>B01</x:v>
      </x:c>
      <x:c r="B82" s="9" t="str">
        <x:v>成品毛刷条</x:v>
      </x:c>
      <x:c r="C82" s="9" t="str">
        <x:v>采购五金</x:v>
      </x:c>
      <x:c r="D82" s="11" t="n">
        <x:v>2</x:v>
      </x:c>
      <x:c r="E82" s="9" t="str">
        <x:v>根</x:v>
      </x:c>
      <x:c r="F82" s="9" t="str">
        <x:v>每根1000；尼龙毛长19；F型铝座；截面总26.5、座6.7×6.7</x:v>
      </x:c>
      <x:c r="G82" s="9" t="str">
        <x:v>A03 / 2</x:v>
      </x:c>
      <x:c r="H82" s="9" t="str">
        <x:v>A03</x:v>
      </x:c>
    </x:row>
    <x:row r="83" ht="42" customHeight="1">
      <x:c r="A83" s="10" t="str">
        <x:v>B03</x:v>
      </x:c>
      <x:c r="B83" s="10" t="str">
        <x:v>毛刷固定木螺钉</x:v>
      </x:c>
      <x:c r="C83" s="10" t="str">
        <x:v>采购五金</x:v>
      </x:c>
      <x:c r="D83" s="12" t="n">
        <x:v>10</x:v>
      </x:c>
      <x:c r="E83" s="10" t="str">
        <x:v>只</x:v>
      </x:c>
      <x:c r="F83" s="10" t="str">
        <x:v>每毛刷段2枚；5段共10枚</x:v>
      </x:c>
      <x:c r="G83" s="10" t="str">
        <x:v>A03 / 2</x:v>
      </x:c>
      <x:c r="H83" s="10" t="str">
        <x:v>A03</x:v>
      </x:c>
    </x:row>
    <x:row r="84" ht="42" customHeight="1">
      <x:c r="A84" s="9" t="str">
        <x:v>H22</x:v>
      </x:c>
      <x:c r="B84" s="9" t="str">
        <x:v>横梁调整垫片</x:v>
      </x:c>
      <x:c r="C84" s="9" t="str">
        <x:v>采购五金</x:v>
      </x:c>
      <x:c r="D84" s="11" t="n">
        <x:v>64</x:v>
      </x:c>
      <x:c r="E84" s="9" t="str">
        <x:v>片</x:v>
      </x:c>
      <x:c r="F84" s="9" t="str">
        <x:v>内径6、外径12、厚1；每个螺栓4片叠为4</x:v>
      </x:c>
      <x:c r="G84" s="9" t="str">
        <x:v>A04 / 3</x:v>
      </x:c>
      <x:c r="H84" s="9" t="str">
        <x:v>S09A</x:v>
      </x:c>
    </x:row>
    <x:row r="85" ht="42" customHeight="1">
      <x:c r="A85" s="10" t="str">
        <x:v>H23</x:v>
      </x:c>
      <x:c r="B85" s="10" t="str">
        <x:v>检修盖及吊板防坠索</x:v>
      </x:c>
      <x:c r="C85" s="10" t="str">
        <x:v>采购五金</x:v>
      </x:c>
      <x:c r="D85" s="12" t="n">
        <x:v>4</x:v>
      </x:c>
      <x:c r="E85" s="10" t="str">
        <x:v>根</x:v>
      </x:c>
      <x:c r="F85" s="10" t="str">
        <x:v>钢索φ1.6；索环根间150；两端片孔φ5.3、宽14、T1.5；拉直孔心距约183</x:v>
      </x:c>
      <x:c r="G85" s="10" t="str">
        <x:v>A04 / 3</x:v>
      </x:c>
      <x:c r="H85" s="10" t="str">
        <x:v>A04</x:v>
      </x:c>
    </x:row>
    <x:row r="86" ht="42" customHeight="1">
      <x:c r="A86" s="9" t="str">
        <x:v>H24</x:v>
      </x:c>
      <x:c r="B86" s="9" t="str">
        <x:v>防坠索端片紧固配套</x:v>
      </x:c>
      <x:c r="C86" s="9" t="str">
        <x:v>采购五金</x:v>
      </x:c>
      <x:c r="D86" s="11" t="n">
        <x:v>8</x:v>
      </x:c>
      <x:c r="E86" s="9" t="str">
        <x:v>套</x:v>
      </x:c>
      <x:c r="F86" s="9" t="str">
        <x:v>每套1盘头螺钉、2大垫φ4.3×12×T1、1防松母；M4母总高5</x:v>
      </x:c>
      <x:c r="G86" s="9" t="str">
        <x:v>A04 / 3</x:v>
      </x:c>
      <x:c r="H86" s="9" t="str">
        <x:v>A04</x:v>
      </x:c>
    </x:row>
    <x:row r="87" ht="42" customHeight="1">
      <x:c r="A87" s="10" t="str">
        <x:v>A06</x:v>
      </x:c>
      <x:c r="B87" s="10" t="str">
        <x:v>成品护口与孔盖组件</x:v>
      </x:c>
      <x:c r="C87" s="10" t="str">
        <x:v>装配</x:v>
      </x:c>
      <x:c r="D87" s="12" t="n">
        <x:v>1</x:v>
      </x:c>
      <x:c r="E87" s="10" t="str">
        <x:v>套</x:v>
      </x:c>
      <x:c r="F87" s="10" t="str">
        <x:v>20只衬套＋10只盖</x:v>
      </x:c>
      <x:c r="G87" s="10" t="str">
        <x:v>D02 / 6</x:v>
      </x:c>
      <x:c r="H87" s="10" t="str">
        <x:v>A03</x:v>
      </x:c>
    </x:row>
    <x:row r="88" ht="42" customHeight="1">
      <x:c r="A88" s="9" t="str">
        <x:v>W06</x:v>
      </x:c>
      <x:c r="B88" s="9" t="str">
        <x:v>孔盖底部补强环</x:v>
      </x:c>
      <x:c r="C88" s="9" t="str">
        <x:v>木作</x:v>
      </x:c>
      <x:c r="D88" s="11" t="n">
        <x:v>20</x:v>
      </x:c>
      <x:c r="E88" s="9" t="str">
        <x:v>片</x:v>
      </x:c>
      <x:c r="F88" s="9" t="str">
        <x:v>外Φ30/内Φ14×T2桦木多层板</x:v>
      </x:c>
      <x:c r="G88" s="9" t="str">
        <x:v>D02 / 6</x:v>
      </x:c>
      <x:c r="H88" s="9" t="str">
        <x:v>A03</x:v>
      </x:c>
    </x:row>
    <x:row r="89" ht="42" customHeight="1">
      <x:c r="A89" s="10" t="str">
        <x:v>S03B-P</x:v>
      </x:c>
      <x:c r="B89" s="10" t="str">
        <x:v>进线腿内端封板</x:v>
      </x:c>
      <x:c r="C89" s="10" t="str">
        <x:v>钣金</x:v>
      </x:c>
      <x:c r="D89" s="12" t="n">
        <x:v>1</x:v>
      </x:c>
      <x:c r="E89" s="10" t="str">
        <x:v>件</x:v>
      </x:c>
      <x:c r="F89" s="10" t="str">
        <x:v>外包22.503615×777.000000×T1.5；净形/孔见原生轮廓</x:v>
      </x:c>
      <x:c r="G89" s="10" t="str">
        <x:v>S03BC / 17</x:v>
      </x:c>
      <x:c r="H89" s="10" t="str">
        <x:v>A07</x:v>
      </x:c>
    </x:row>
    <x:row r="90" ht="42" customHeight="1">
      <x:c r="A90" s="9" t="str">
        <x:v>S05-P</x:v>
      </x:c>
      <x:c r="B90" s="9" t="str">
        <x:v>近侧进线C形长筋</x:v>
      </x:c>
      <x:c r="C90" s="9" t="str">
        <x:v>钣金制造件</x:v>
      </x:c>
      <x:c r="D90" s="11" t="n">
        <x:v>1</x:v>
      </x:c>
      <x:c r="E90" s="9" t="str">
        <x:v>件</x:v>
      </x:c>
      <x:c r="F90" s="9" t="str">
        <x:v>最大投影1943×30×97；上边1915.4；下边1767</x:v>
      </x:c>
      <x:c r="G90" s="9" t="str">
        <x:v>S05-P / 14</x:v>
      </x:c>
      <x:c r="H90" s="9" t="str">
        <x:v>A04</x:v>
      </x:c>
    </x:row>
  </x:sheetData>
  <x:pageMargins left="0.7" right="0.7" top="0.75" bottom="0.75" header="0.3" footer="0.3"/>
  <x:tableParts count="1">
    <x:tablePart xmlns:r="http://schemas.openxmlformats.org/officeDocument/2006/relationships" r:id="R2ad90e5a583c45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5" hidden="0" customWidth="1"/>
    <x:col min="4" max="4" width="39" hidden="0" customWidth="1"/>
    <x:col min="5" max="5" width="76" hidden="0" customWidth="1"/>
    <x:col min="6" max="6" width="13" hidden="0" customWidth="1"/>
    <x:col min="7" max="7" width="16" hidden="0" customWidth="1"/>
    <x:col min="8" max="8" width="15" hidden="0" customWidth="1"/>
    <x:col min="9" max="9" width="16" hidden="0" customWidth="1"/>
    <x:col min="10" max="10" width="15" hidden="0" customWidth="1"/>
    <x:col min="11" max="11" width="9" hidden="0" customWidth="1"/>
    <x:col min="12" max="12" width="17" hidden="0" customWidth="1"/>
    <x:col min="13" max="13" width="4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" t="str">
        <x:v>成品五金采购清单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 t="str">
        <x:v>HW73005-L2000　R04　2026-10-02　单位：mm；数量按一桌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6" customHeight="1">
      <x:c r="A5" s="2" t="str">
        <x:v>价格为公开参考价，未含未声明的税费、运费与进口费用；待核项见第三页。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4" customHeight="1">
      <x:c r="A7" s="7" t="str">
        <x:v>组件号</x:v>
      </x:c>
      <x:c r="B7" s="7" t="str">
        <x:v>所属件号</x:v>
      </x:c>
      <x:c r="C7" s="7" t="str">
        <x:v>成品 / 子件</x:v>
      </x:c>
      <x:c r="D7" s="7" t="str">
        <x:v>订购型号</x:v>
      </x:c>
      <x:c r="E7" s="7" t="str">
        <x:v>销售网址</x:v>
      </x:c>
      <x:c r="F7" s="7" t="str">
        <x:v>装配件数</x:v>
      </x:c>
      <x:c r="G7" s="7" t="str">
        <x:v>每销售单位件数</x:v>
      </x:c>
      <x:c r="H7" s="7" t="str">
        <x:v>最小销售单位</x:v>
      </x:c>
      <x:c r="I7" s="7" t="str">
        <x:v>建议销售单位</x:v>
      </x:c>
      <x:c r="J7" s="7" t="str">
        <x:v>公开单位价</x:v>
      </x:c>
      <x:c r="K7" s="7" t="str">
        <x:v>币种</x:v>
      </x:c>
      <x:c r="L7" s="7" t="str">
        <x:v>材料参考额</x:v>
      </x:c>
      <x:c r="M7" s="7" t="str">
        <x:v>价格性质与库存</x:v>
      </x:c>
    </x:row>
    <x:row r="8" ht="42" customHeight="1">
      <x:c r="A8" s="9" t="str">
        <x:v>B01.1</x:v>
      </x:c>
      <x:c r="B8" s="9" t="str">
        <x:v>B01</x:v>
      </x:c>
      <x:c r="C8" s="9" t="str">
        <x:v>成品毛刷条</x:v>
      </x:c>
      <x:c r="D8" s="9" t="str">
        <x:v>RS PRO 326-9808</x:v>
      </x:c>
      <x:c r="E8" s="16" t="str">
        <x:v>https://uk.rs-online.com/web/p/door-seals/3269808</x:v>
      </x:c>
      <x:c r="F8" s="11" t="n">
        <x:v>2</x:v>
      </x:c>
      <x:c r="G8" s="11" t="n">
        <x:v>1</x:v>
      </x:c>
      <x:c r="H8" s="11" t="n">
        <x:v>1</x:v>
      </x:c>
      <x:c r="I8" s="11" t="n">
        <x:f>IF(OR(F8="",G8=""),"",MAX(ROUNDUP(F8/G8,0),H8))</x:f>
        <x:v>2</x:v>
      </x:c>
      <x:c r="J8" s="15" t="n">
        <x:v>17.1</x:v>
      </x:c>
      <x:c r="K8" s="9" t="str">
        <x:v>GBP</x:v>
      </x:c>
      <x:c r="L8" s="13" t="n">
        <x:f>IF(OR(I8="",J8=""),"",I8*J8)</x:f>
        <x:v>34.2</x:v>
      </x:c>
      <x:c r="M8" s="9" t="str">
        <x:v>RS网页indicative标价；网页显示204根可发货；公开价格，非成交价</x:v>
      </x:c>
    </x:row>
    <x:row r="9" ht="42" customHeight="1">
      <x:c r="A9" s="10" t="str">
        <x:v>B03.1</x:v>
      </x:c>
      <x:c r="B9" s="10" t="str">
        <x:v>B03</x:v>
      </x:c>
      <x:c r="C9" s="10" t="str">
        <x:v>毛刷固定木螺钉</x:v>
      </x:c>
      <x:c r="D9" s="10" t="str">
        <x:v>000338aa230623qmaneu / φ3×8</x:v>
      </x:c>
      <x:c r="E9" s="17" t="str">
        <x:v>https://www.ubuy.do/en/productde/JSV81LXF4-quarkzman-3-mm-x-8-mm-phillips-pan-head-self-tapping-screw-pack-of-100-304-stainless-steel-round-head-wood-screw-full-thread-black</x:v>
      </x:c>
      <x:c r="F9" s="12" t="n">
        <x:v>10</x:v>
      </x:c>
      <x:c r="G9" s="12" t="n">
        <x:v>100</x:v>
      </x:c>
      <x:c r="H9" s="12" t="n">
        <x:v>1</x:v>
      </x:c>
      <x:c r="I9" s="12" t="n">
        <x:f>IF(OR(F9="",G9=""),"",MAX(ROUNDUP(F9/G9,0),H9))</x:f>
        <x:v>1</x:v>
      </x:c>
      <x:c r="J9" s="15" t="n">
        <x:v>1279</x:v>
      </x:c>
      <x:c r="K9" s="10" t="str">
        <x:v>DOP</x:v>
      </x:c>
      <x:c r="L9" s="14" t="n">
        <x:f>IF(OR(I9="",J9=""),"",I9*J9)</x:f>
        <x:v>1279</x:v>
      </x:c>
      <x:c r="M9" s="10" t="str">
        <x:v>进口站页面价；页面In stock；公开价格，非成交价</x:v>
      </x:c>
    </x:row>
    <x:row r="10" ht="42" customHeight="1">
      <x:c r="A10" s="9" t="str">
        <x:v>E17.1</x:v>
      </x:c>
      <x:c r="B10" s="9" t="str">
        <x:v>E17</x:v>
      </x:c>
      <x:c r="C10" s="9" t="str">
        <x:v>近C防拉脱电缆密封件</x:v>
      </x:c>
      <x:c r="D10" s="9" t="str">
        <x:v>Phoenix Contact 1411133 / G-INS-M20-S68N-PNES-BK</x:v>
      </x:c>
      <x:c r="E10" s="16" t="str">
        <x:v>https://mall.phoenixcontact.com.cn/commodity/detail/G-INS-M20-S68N-PNES-BK-1411133</x:v>
      </x:c>
      <x:c r="F10" s="11" t="n">
        <x:v>1</x:v>
      </x:c>
      <x:c r="G10" s="11" t="n">
        <x:v>1</x:v>
      </x:c>
      <x:c r="H10" s="11" t="n">
        <x:v>5</x:v>
      </x:c>
      <x:c r="I10" s="11" t="n">
        <x:f>IF(OR(F10="",G10=""),"",MAX(ROUNDUP(F10/G10,0),H10))</x:f>
        <x:v>5</x:v>
      </x:c>
      <x:c r="J10" s="15" t="n">
        <x:v>7.85</x:v>
      </x:c>
      <x:c r="K10" s="9" t="str">
        <x:v>CNY</x:v>
      </x:c>
      <x:c r="L10" s="13" t="n">
        <x:f>IF(OR(I10="",J10=""),"",I10*J10)</x:f>
        <x:v>39.25</x:v>
      </x:c>
      <x:c r="M10" s="9" t="str">
        <x:v>中国原厂商城公开价；起订5只；页面有现货；2026-10-02核；公开价格，非成交价；首件配装未验</x:v>
      </x:c>
    </x:row>
    <x:row r="11" ht="42" customHeight="1">
      <x:c r="A11" s="10" t="str">
        <x:v>E17.2</x:v>
      </x:c>
      <x:c r="B11" s="10" t="str">
        <x:v>E17</x:v>
      </x:c>
      <x:c r="C11" s="10" t="str">
        <x:v>M20配套锁紧螺母</x:v>
      </x:c>
      <x:c r="D11" s="10" t="str">
        <x:v>Phoenix Contact 1411215 / A-INL-M20-P-BK</x:v>
      </x:c>
      <x:c r="E11" s="17" t="str">
        <x:v>https://mall.phoenixcontact.com.cn/commodity/detail/A-INL-M20-P-BK-1411215</x:v>
      </x:c>
      <x:c r="F11" s="12" t="n">
        <x:v>1</x:v>
      </x:c>
      <x:c r="G11" s="12" t="n">
        <x:v>1</x:v>
      </x:c>
      <x:c r="H11" s="12" t="n">
        <x:v>5</x:v>
      </x:c>
      <x:c r="I11" s="12" t="n">
        <x:f>IF(OR(F11="",G11=""),"",MAX(ROUNDUP(F11/G11,0),H11))</x:f>
        <x:v>5</x:v>
      </x:c>
      <x:c r="J11" s="15" t="n">
        <x:v>2.01</x:v>
      </x:c>
      <x:c r="K11" s="10" t="str">
        <x:v>CNY</x:v>
      </x:c>
      <x:c r="L11" s="14" t="n">
        <x:f>IF(OR(I11="",J11=""),"",I11*J11)</x:f>
        <x:v>10.049999999999999</x:v>
      </x:c>
      <x:c r="M11" s="10" t="str">
        <x:v>中国原厂商城公开价；起订5只；页面有现货；2026-10-02核；公开价格，非成交价；首件配装未验</x:v>
      </x:c>
    </x:row>
    <x:row r="12" ht="42" customHeight="1">
      <x:c r="A12" s="9" t="str">
        <x:v>H01.1</x:v>
      </x:c>
      <x:c r="B12" s="9" t="str">
        <x:v>H01</x:v>
      </x:c>
      <x:c r="C12" s="9" t="str">
        <x:v>薄型调节脚</x:v>
      </x:c>
      <x:c r="D12" s="9" t="str">
        <x:v>TG-20</x:v>
      </x:c>
      <x:c r="E12" s="16" t="str">
        <x:v>https://www.sugatsune.com/glide-tg-20/</x:v>
      </x:c>
      <x:c r="F12" s="11" t="n">
        <x:v>8</x:v>
      </x:c>
      <x:c r="G12" s="11" t="n">
        <x:v>1</x:v>
      </x:c>
      <x:c r="H12" s="11" t="n">
        <x:v>1</x:v>
      </x:c>
      <x:c r="I12" s="11" t="n">
        <x:f>IF(OR(F12="",G12=""),"",MAX(ROUNDUP(F12/G12,0),H12))</x:f>
        <x:v>8</x:v>
      </x:c>
      <x:c r="J12" s="15" t="n">
        <x:v>1.6</x:v>
      </x:c>
      <x:c r="K12" s="9" t="str">
        <x:v>USD</x:v>
      </x:c>
      <x:c r="L12" s="13" t="n">
        <x:f>IF(OR(I12="",J12=""),"",I12*J12)</x:f>
        <x:v>12.8</x:v>
      </x:c>
      <x:c r="M12" s="9" t="str">
        <x:v>原厂参考价；原厂公开标价；页面只有Where to Buy，现购库存/MOQ未核；公开价格，非成交价</x:v>
      </x:c>
    </x:row>
    <x:row r="13" ht="42" customHeight="1">
      <x:c r="A13" s="10" t="str">
        <x:v>H02.1</x:v>
      </x:c>
      <x:c r="B13" s="10" t="str">
        <x:v>H02</x:v>
      </x:c>
      <x:c r="C13" s="10" t="str">
        <x:v>M8六角焊接螺母</x:v>
      </x:c>
      <x:c r="D13" s="10" t="str">
        <x:v>2835010 / DIN929 M8钢本色</x:v>
      </x:c>
      <x:c r="E13" s="17" t="str">
        <x:v>https://www.orbitalfasteners.co.uk/products/m8-mild-steel-hexagon-we-ld-nut-self-colour</x:v>
      </x:c>
      <x:c r="F13" s="12" t="n">
        <x:v>8</x:v>
      </x:c>
      <x:c r="G13" s="12" t="n">
        <x:v>1</x:v>
      </x:c>
      <x:c r="H13" s="12" t="n">
        <x:v>1</x:v>
      </x:c>
      <x:c r="I13" s="12" t="n">
        <x:f>IF(OR(F13="",G13=""),"",MAX(ROUNDUP(F13/G13,0),H13))</x:f>
        <x:v>8</x:v>
      </x:c>
      <x:c r="J13" s="15" t="n">
        <x:v>0.0266</x:v>
      </x:c>
      <x:c r="K13" s="10" t="str">
        <x:v>GBP</x:v>
      </x:c>
      <x:c r="L13" s="14" t="n">
        <x:f>IF(OR(I13="",J13=""),"",I13*J13)</x:f>
        <x:v>0.2128</x:v>
      </x:c>
      <x:c r="M13" s="10" t="str">
        <x:v>页面现货5520，库存标记2026-10-01 22:03英国当地；公开价格，非成交价</x:v>
      </x:c>
    </x:row>
    <x:row r="14" ht="42" customHeight="1">
      <x:c r="A14" s="9" t="str">
        <x:v>H03.1</x:v>
      </x:c>
      <x:c r="B14" s="9" t="str">
        <x:v>H03</x:v>
      </x:c>
      <x:c r="C14" s="9" t="str">
        <x:v>检修门可脱卸合页</x:v>
      </x:c>
      <x:c r="D14" s="9" t="str">
        <x:v>HG-OTA75 / 170-090-942</x:v>
      </x:c>
      <x:c r="E14" s="16" t="str">
        <x:v>https://knobdeco.com/products/sugatsune-hg-ota75-75mm-quick-release-hinge-w-screw-holes-stainless-steel</x:v>
      </x:c>
      <x:c r="F14" s="11" t="n">
        <x:v>4</x:v>
      </x:c>
      <x:c r="G14" s="11" t="n">
        <x:v>1</x:v>
      </x:c>
      <x:c r="H14" s="11" t="n">
        <x:v>1</x:v>
      </x:c>
      <x:c r="I14" s="11" t="n">
        <x:f>IF(OR(F14="",G14=""),"",MAX(ROUNDUP(F14/G14,0),H14))</x:f>
        <x:v>4</x:v>
      </x:c>
      <x:c r="J14" s="15" t="n">
        <x:v>18.45</x:v>
      </x:c>
      <x:c r="K14" s="9" t="str">
        <x:v>USD</x:v>
      </x:c>
      <x:c r="L14" s="13" t="n">
        <x:f>IF(OR(I14="",J14=""),"",I14*J14)</x:f>
        <x:v>73.8</x:v>
      </x:c>
      <x:c r="M14" s="9" t="str">
        <x:v>In stock，通常1~3工作日发货；公开价格，非成交价</x:v>
      </x:c>
    </x:row>
    <x:row r="15" ht="42" customHeight="1">
      <x:c r="A15" s="10" t="str">
        <x:v>H04.1</x:v>
      </x:c>
      <x:c r="B15" s="10" t="str">
        <x:v>H04</x:v>
      </x:c>
      <x:c r="C15" s="10" t="str">
        <x:v>直槽工具转舌锁（完整套件）</x:v>
      </x:c>
      <x:c r="D15" s="10" t="str">
        <x:v>MS705-1-1</x:v>
      </x:c>
      <x:c r="E15" s="17" t="str">
        <x:v>https://www.hengzhu.com/cn/static/mall-shop</x:v>
      </x:c>
      <x:c r="F15" s="12" t="n">
        <x:v>2</x:v>
      </x:c>
      <x:c r="G15" s="12"/>
      <x:c r="H15" s="12" t="n">
        <x:v>1</x:v>
      </x:c>
      <x:c r="I15" s="12" t="str">
        <x:f>IF(OR(F15="",G15=""),"",MAX(ROUNDUP(F15/G15,0),H15))</x:f>
      </x:c>
      <x:c r="J15" s="15"/>
      <x:c r="K15" s="10" t="str"/>
      <x:c r="L15" s="14" t="str">
        <x:f>IF(OR(I15="",J15=""),"",I15*J15)</x:f>
      </x:c>
      <x:c r="M15" s="10" t="str">
        <x:v>待询价；未取得准确完整套件公开价；待精确型号报价</x:v>
      </x:c>
    </x:row>
    <x:row r="16" ht="42" customHeight="1">
      <x:c r="A16" s="9" t="str">
        <x:v>H05.1</x:v>
      </x:c>
      <x:c r="B16" s="9" t="str">
        <x:v>H05</x:v>
      </x:c>
      <x:c r="C16" s="9" t="str">
        <x:v>滑拆固定器</x:v>
      </x:c>
      <x:c r="D16" s="9" t="str">
        <x:v>LP332 / 20472</x:v>
      </x:c>
      <x:c r="E16" s="16" t="str">
        <x:v>https://www.huayunit.com/goods.php?id=7617</x:v>
      </x:c>
      <x:c r="F16" s="11" t="n">
        <x:v>4</x:v>
      </x:c>
      <x:c r="G16" s="11" t="n">
        <x:v>1</x:v>
      </x:c>
      <x:c r="H16" s="11" t="n">
        <x:v>1</x:v>
      </x:c>
      <x:c r="I16" s="11" t="n">
        <x:f>IF(OR(F16="",G16=""),"",MAX(ROUNDUP(F16/G16,0),H16))</x:f>
        <x:v>4</x:v>
      </x:c>
      <x:c r="J16" s="15" t="n">
        <x:v>12</x:v>
      </x:c>
      <x:c r="K16" s="9" t="str">
        <x:v>CNY</x:v>
      </x:c>
      <x:c r="L16" s="13" t="n">
        <x:f>IF(OR(I16="",J16=""),"",I16*J16)</x:f>
        <x:v>48</x:v>
      </x:c>
      <x:c r="M16" s="9" t="str">
        <x:v>搜索抓取商品全文公开参考价；搜索抓取全文显示有货；直达多次超时，实时结算库存未核；公开价格，非成交价</x:v>
      </x:c>
    </x:row>
    <x:row r="17" ht="42" customHeight="1">
      <x:c r="A17" s="10" t="str">
        <x:v>H06.1</x:v>
      </x:c>
      <x:c r="B17" s="10" t="str">
        <x:v>H06</x:v>
      </x:c>
      <x:c r="C17" s="10" t="str">
        <x:v>承托盒白色穿线护口</x:v>
      </x:c>
      <x:c r="D17" s="10" t="str">
        <x:v>429.99.735</x:v>
      </x:c>
      <x:c r="E17" s="17" t="str">
        <x:v>https://www.wurthmachinery.com/50mm-Cable-Grommet-with-Spring-Loaded-White.html</x:v>
      </x:c>
      <x:c r="F17" s="12" t="n">
        <x:v>2</x:v>
      </x:c>
      <x:c r="G17" s="12" t="n">
        <x:v>1</x:v>
      </x:c>
      <x:c r="H17" s="12" t="n">
        <x:v>1</x:v>
      </x:c>
      <x:c r="I17" s="12" t="n">
        <x:f>IF(OR(F17="",G17=""),"",MAX(ROUNDUP(F17/G17,0),H17))</x:f>
        <x:v>2</x:v>
      </x:c>
      <x:c r="J17" s="15" t="n">
        <x:v>5.98</x:v>
      </x:c>
      <x:c r="K17" s="10" t="str">
        <x:v>USD</x:v>
      </x:c>
      <x:c r="L17" s="14" t="n">
        <x:f>IF(OR(I17="",J17=""),"",I17*J17)</x:f>
        <x:v>11.96</x:v>
      </x:c>
      <x:c r="M17" s="10" t="str">
        <x:v>缺货页面标价；正文Out of stock；结构化InStock与正文矛盾，以正文缺货标记；公开价格，非成交价</x:v>
      </x:c>
    </x:row>
    <x:row r="18" ht="42" customHeight="1">
      <x:c r="A18" s="9" t="str">
        <x:v>H07.1</x:v>
      </x:c>
      <x:c r="B18" s="9" t="str">
        <x:v>H07</x:v>
      </x:c>
      <x:c r="C18" s="9" t="str">
        <x:v>侧埋十字暗铰</x:v>
      </x:c>
      <x:c r="D18" s="9" t="str">
        <x:v>101CUS26D</x:v>
      </x:c>
      <x:c r="E18" s="16" t="str">
        <x:v>https://uslocksupply.com/products/soss-101-invisible-hinge</x:v>
      </x:c>
      <x:c r="F18" s="11" t="n">
        <x:v>8</x:v>
      </x:c>
      <x:c r="G18" s="11" t="n">
        <x:v>2</x:v>
      </x:c>
      <x:c r="H18" s="11" t="n">
        <x:v>1</x:v>
      </x:c>
      <x:c r="I18" s="11" t="n">
        <x:f>IF(OR(F18="",G18=""),"",MAX(ROUNDUP(F18/G18,0),H18))</x:f>
        <x:v>4</x:v>
      </x:c>
      <x:c r="J18" s="15" t="n">
        <x:v>24.47</x:v>
      </x:c>
      <x:c r="K18" s="9" t="str">
        <x:v>USD</x:v>
      </x:c>
      <x:c r="L18" s="13" t="n">
        <x:f>IF(OR(I18="",J18=""),"",I18*J18)</x:f>
        <x:v>97.88</x:v>
      </x:c>
      <x:c r="M18" s="9" t="str">
        <x:v>销售页面标价；可加入购物车；具体库存数与中国配送未核；公开价格，非成交价</x:v>
      </x:c>
    </x:row>
    <x:row r="19" ht="42" customHeight="1">
      <x:c r="A19" s="10" t="str">
        <x:v>H09.1</x:v>
      </x:c>
      <x:c r="B19" s="10" t="str">
        <x:v>H09</x:v>
      </x:c>
      <x:c r="C19" s="10" t="str">
        <x:v>桌面M6机螺钉</x:v>
      </x:c>
      <x:c r="D19" s="10" t="str">
        <x:v>Orbital 2671210</x:v>
      </x:c>
      <x:c r="E19" s="17" t="str">
        <x:v>https://www.orbitalfasteners.co.uk/products/m6-x-12-socket-cap-screw-high-tensile-bright-zinc-plated</x:v>
      </x:c>
      <x:c r="F19" s="12" t="n">
        <x:v>8</x:v>
      </x:c>
      <x:c r="G19" s="12" t="n">
        <x:v>1</x:v>
      </x:c>
      <x:c r="H19" s="12" t="n">
        <x:v>1</x:v>
      </x:c>
      <x:c r="I19" s="12" t="n">
        <x:f>IF(OR(F19="",G19=""),"",MAX(ROUNDUP(F19/G19,0),H19))</x:f>
        <x:v>8</x:v>
      </x:c>
      <x:c r="J19" s="15" t="n">
        <x:v>0.0523</x:v>
      </x:c>
      <x:c r="K19" s="10" t="str">
        <x:v>GBP</x:v>
      </x:c>
      <x:c r="L19" s="14" t="n">
        <x:f>IF(OR(I19="",J19=""),"",I19*J19)</x:f>
        <x:v>0.4184</x:v>
      </x:c>
      <x:c r="M19" s="10" t="str">
        <x:v>页面现货37850，库存标记2026-10-01 22:03英国当地；公开价格，非成交价</x:v>
      </x:c>
    </x:row>
    <x:row r="20" ht="42" customHeight="1">
      <x:c r="A20" s="9" t="str">
        <x:v>H10.1</x:v>
      </x:c>
      <x:c r="B20" s="9" t="str">
        <x:v>H10</x:v>
      </x:c>
      <x:c r="C20" s="9" t="str">
        <x:v>桌面M6木用嵌入螺母</x:v>
      </x:c>
      <x:c r="D20" s="9" t="str">
        <x:v>RAMPA SKD30 439612001010 / 10只装</x:v>
      </x:c>
      <x:c r="E20" s="16" t="str">
        <x:v>https://www.rampa.com/eu/en/rampa-inserts-type-skd30/439612001010</x:v>
      </x:c>
      <x:c r="F20" s="11" t="n">
        <x:v>8</x:v>
      </x:c>
      <x:c r="G20" s="11" t="n">
        <x:v>10</x:v>
      </x:c>
      <x:c r="H20" s="11" t="n">
        <x:v>1</x:v>
      </x:c>
      <x:c r="I20" s="11" t="n">
        <x:f>IF(OR(F20="",G20=""),"",MAX(ROUNDUP(F20/G20,0),H20))</x:f>
        <x:v>1</x:v>
      </x:c>
      <x:c r="J20" s="15" t="n">
        <x:v>8.3</x:v>
      </x:c>
      <x:c r="K20" s="9" t="str">
        <x:v>EUR</x:v>
      </x:c>
      <x:c r="L20" s="13" t="n">
        <x:f>IF(OR(I20="",J20=""),"",I20*J20)</x:f>
        <x:v>8.3</x:v>
      </x:c>
      <x:c r="M20" s="9" t="str">
        <x:v>原厂可加入购物车；精确库存数字未公布；公开价格，非成交价</x:v>
      </x:c>
    </x:row>
    <x:row r="21" ht="42" customHeight="1">
      <x:c r="A21" s="10" t="str">
        <x:v>H11.1</x:v>
      </x:c>
      <x:c r="B21" s="10" t="str">
        <x:v>H11</x:v>
      </x:c>
      <x:c r="C21" s="10" t="str">
        <x:v>M6平垫圈</x:v>
      </x:c>
      <x:c r="D21" s="10" t="str">
        <x:v>ISO 7089 / DIN 125-A 6</x:v>
      </x:c>
      <x:c r="E21" s="17" t="str">
        <x:v>https://www.mofakult.fr/en/washer-m6-6-4-12-1-6-galvanized-29733</x:v>
      </x:c>
      <x:c r="F21" s="12" t="n">
        <x:v>8</x:v>
      </x:c>
      <x:c r="G21" s="12" t="n">
        <x:v>1</x:v>
      </x:c>
      <x:c r="H21" s="12" t="n">
        <x:v>1</x:v>
      </x:c>
      <x:c r="I21" s="12" t="n">
        <x:f>IF(OR(F21="",G21=""),"",MAX(ROUNDUP(F21/G21,0),H21))</x:f>
        <x:v>8</x:v>
      </x:c>
      <x:c r="J21" s="15" t="n">
        <x:v>0.45</x:v>
      </x:c>
      <x:c r="K21" s="10" t="str">
        <x:v>EUR</x:v>
      </x:c>
      <x:c r="L21" s="14" t="n">
        <x:f>IF(OR(I21="",J21=""),"",I21*J21)</x:f>
        <x:v>3.6</x:v>
      </x:c>
      <x:c r="M21" s="10" t="str">
        <x:v>商品页可加入购物车；未披露具体库存数；公开价格，非成交价</x:v>
      </x:c>
    </x:row>
    <x:row r="22" ht="42" customHeight="1">
      <x:c r="A22" s="9" t="str">
        <x:v>H12.1</x:v>
      </x:c>
      <x:c r="B22" s="9" t="str">
        <x:v>H12</x:v>
      </x:c>
      <x:c r="C22" s="9" t="str">
        <x:v>螺钉</x:v>
      </x:c>
      <x:c r="D22" s="9" t="str">
        <x:v>PPH7985H-M3-8-A2</x:v>
      </x:c>
      <x:c r="E22" s="16" t="str">
        <x:v>https://www.vital-parts.co.uk/phillips-pan-head-machine-screws-din-7985h/17017-pph7985h-m3-8-a2</x:v>
      </x:c>
      <x:c r="F22" s="11" t="n">
        <x:v>16</x:v>
      </x:c>
      <x:c r="G22" s="11" t="n">
        <x:v>1</x:v>
      </x:c>
      <x:c r="H22" s="11" t="n">
        <x:v>1</x:v>
      </x:c>
      <x:c r="I22" s="11" t="n">
        <x:f>IF(OR(F22="",G22=""),"",MAX(ROUNDUP(F22/G22,0),H22))</x:f>
        <x:v>16</x:v>
      </x:c>
      <x:c r="J22" s="15" t="n">
        <x:v>0.15</x:v>
      </x:c>
      <x:c r="K22" s="9" t="str">
        <x:v>GBP</x:v>
      </x:c>
      <x:c r="L22" s="13" t="n">
        <x:f>IF(OR(I22="",J22=""),"",I22*J22)</x:f>
        <x:v>2.4</x:v>
      </x:c>
      <x:c r="M22" s="9" t="str">
        <x:v>现货248，可选同日发货；公开价格，非成交价</x:v>
      </x:c>
    </x:row>
    <x:row r="23" ht="42" customHeight="1">
      <x:c r="A23" s="10" t="str">
        <x:v>H12.2</x:v>
      </x:c>
      <x:c r="B23" s="10" t="str">
        <x:v>H12</x:v>
      </x:c>
      <x:c r="C23" s="10" t="str">
        <x:v>平垫</x:v>
      </x:c>
      <x:c r="D23" s="10" t="str">
        <x:v>WA125-M3-A2 / T0.5</x:v>
      </x:c>
      <x:c r="E23" s="17" t="str">
        <x:v>https://www.vital-parts.co.uk/stainless-steel-2xd-form-a-flat-washers-din-125a/28945-wa125-m3-a2</x:v>
      </x:c>
      <x:c r="F23" s="12" t="n">
        <x:v>16</x:v>
      </x:c>
      <x:c r="G23" s="12" t="n">
        <x:v>1</x:v>
      </x:c>
      <x:c r="H23" s="12" t="n">
        <x:v>1</x:v>
      </x:c>
      <x:c r="I23" s="12" t="n">
        <x:f>IF(OR(F23="",G23=""),"",MAX(ROUNDUP(F23/G23,0),H23))</x:f>
        <x:v>16</x:v>
      </x:c>
      <x:c r="J23" s="15" t="n">
        <x:v>0.05</x:v>
      </x:c>
      <x:c r="K23" s="10" t="str">
        <x:v>GBP</x:v>
      </x:c>
      <x:c r="L23" s="14" t="n">
        <x:f>IF(OR(I23="",J23=""),"",I23*J23)</x:f>
        <x:v>0.8</x:v>
      </x:c>
      <x:c r="M23" s="10" t="str">
        <x:v>现货765，可选同日发货；公开价格，非成交价</x:v>
      </x:c>
    </x:row>
    <x:row r="24" ht="42" customHeight="1">
      <x:c r="A24" s="9" t="str">
        <x:v>H12.3</x:v>
      </x:c>
      <x:c r="B24" s="9" t="str">
        <x:v>H12</x:v>
      </x:c>
      <x:c r="C24" s="9" t="str">
        <x:v>防松母</x:v>
      </x:c>
      <x:c r="D24" s="9" t="str">
        <x:v>UKStainless M3 DIN985 A2 / 100只装</x:v>
      </x:c>
      <x:c r="E24" s="16" t="str">
        <x:v>https://www.ukstainless.co.uk/a2-stainless-steel-nyloc-nuts-din-985-m3-to-m30.html</x:v>
      </x:c>
      <x:c r="F24" s="11" t="n">
        <x:v>16</x:v>
      </x:c>
      <x:c r="G24" s="11" t="n">
        <x:v>100</x:v>
      </x:c>
      <x:c r="H24" s="11" t="n">
        <x:v>1</x:v>
      </x:c>
      <x:c r="I24" s="11" t="n">
        <x:f>IF(OR(F24="",G24=""),"",MAX(ROUNDUP(F24/G24,0),H24))</x:f>
        <x:v>1</x:v>
      </x:c>
      <x:c r="J24" s="15" t="n">
        <x:v>1.46</x:v>
      </x:c>
      <x:c r="K24" s="9" t="str">
        <x:v>GBP</x:v>
      </x:c>
      <x:c r="L24" s="13" t="n">
        <x:f>IF(OR(I24="",J24=""),"",I24*J24)</x:f>
        <x:v>1.46</x:v>
      </x:c>
      <x:c r="M24" s="9" t="str">
        <x:v>In stock；公开价格，非成交价</x:v>
      </x:c>
    </x:row>
    <x:row r="25" ht="42" customHeight="1">
      <x:c r="A25" s="10" t="str">
        <x:v>H13.1</x:v>
      </x:c>
      <x:c r="B25" s="10" t="str">
        <x:v>H13</x:v>
      </x:c>
      <x:c r="C25" s="10" t="str">
        <x:v>检修盖及吊板防脱螺钉</x:v>
      </x:c>
      <x:c r="D25" s="10" t="str">
        <x:v>SSC-M5-8</x:v>
      </x:c>
      <x:c r="E25" s="17" t="str">
        <x:v>https://static.nbk1560.com/en-US/products/specialscrew/nedzicom/captivescrew/SSC/SSC-M5/SSC-M5-8/</x:v>
      </x:c>
      <x:c r="F25" s="12" t="n">
        <x:v>8</x:v>
      </x:c>
      <x:c r="G25" s="12" t="n">
        <x:v>1</x:v>
      </x:c>
      <x:c r="H25" s="12" t="n">
        <x:v>1</x:v>
      </x:c>
      <x:c r="I25" s="12" t="n">
        <x:f>IF(OR(F25="",G25=""),"",MAX(ROUNDUP(F25/G25,0),H25))</x:f>
        <x:v>8</x:v>
      </x:c>
      <x:c r="J25" s="15" t="n">
        <x:v>2.93</x:v>
      </x:c>
      <x:c r="K25" s="10" t="str">
        <x:v>USD</x:v>
      </x:c>
      <x:c r="L25" s="14" t="n">
        <x:f>IF(OR(I25="",J25=""),"",I25*J25)</x:f>
        <x:v>23.44</x:v>
      </x:c>
      <x:c r="M25" s="10" t="str">
        <x:v>原厂可按Piece输入数量/Cart；库存和MOQ未披露；公开价格，非成交价</x:v>
      </x:c>
    </x:row>
    <x:row r="26" ht="42" customHeight="1">
      <x:c r="A26" s="9" t="str">
        <x:v>H14.1</x:v>
      </x:c>
      <x:c r="B26" s="9" t="str">
        <x:v>H14</x:v>
      </x:c>
      <x:c r="C26" s="9" t="str">
        <x:v>检修盖及吊板M5焊接螺母</x:v>
      </x:c>
      <x:c r="D26" s="9" t="str">
        <x:v>Boltworld10063.050.000 / DIN929 M5 class6钢本色</x:v>
      </x:c>
      <x:c r="E26" s="16" t="str">
        <x:v>https://boltworld.co.uk/products/m5-hexagon-weld-nut-self-colour-din-929/</x:v>
      </x:c>
      <x:c r="F26" s="11" t="n">
        <x:v>8</x:v>
      </x:c>
      <x:c r="G26" s="11" t="n">
        <x:v>1</x:v>
      </x:c>
      <x:c r="H26" s="11" t="n">
        <x:v>1</x:v>
      </x:c>
      <x:c r="I26" s="11" t="n">
        <x:f>IF(OR(F26="",G26=""),"",MAX(ROUNDUP(F26/G26,0),H26))</x:f>
        <x:v>8</x:v>
      </x:c>
      <x:c r="J26" s="15" t="n">
        <x:v>0.0165</x:v>
      </x:c>
      <x:c r="K26" s="9" t="str">
        <x:v>GBP</x:v>
      </x:c>
      <x:c r="L26" s="13" t="n">
        <x:f>IF(OR(I26="",J26=""),"",I26*J26)</x:f>
        <x:v>0.132</x:v>
      </x:c>
      <x:c r="M26" s="9" t="str">
        <x:v>商品页可加入购物车；库存数字未披露；公开价格，非成交价</x:v>
      </x:c>
    </x:row>
    <x:row r="27" ht="42" customHeight="1">
      <x:c r="A27" s="10" t="str">
        <x:v>H15.1</x:v>
      </x:c>
      <x:c r="B27" s="10" t="str">
        <x:v>H15</x:v>
      </x:c>
      <x:c r="C27" s="10" t="str">
        <x:v>螺钉</x:v>
      </x:c>
      <x:c r="D27" s="10" t="str">
        <x:v>Orbital2671230</x:v>
      </x:c>
      <x:c r="E27" s="17" t="str">
        <x:v>https://www.orbitalfasteners.co.uk/products/m6-x-20-socket-cap-screw-high-tensile-bright-zinc-plated</x:v>
      </x:c>
      <x:c r="F27" s="12" t="n">
        <x:v>16</x:v>
      </x:c>
      <x:c r="G27" s="12" t="n">
        <x:v>1</x:v>
      </x:c>
      <x:c r="H27" s="12" t="n">
        <x:v>1</x:v>
      </x:c>
      <x:c r="I27" s="12" t="n">
        <x:f>IF(OR(F27="",G27=""),"",MAX(ROUNDUP(F27/G27,0),H27))</x:f>
        <x:v>16</x:v>
      </x:c>
      <x:c r="J27" s="15" t="n">
        <x:v>0.0718</x:v>
      </x:c>
      <x:c r="K27" s="10" t="str">
        <x:v>GBP</x:v>
      </x:c>
      <x:c r="L27" s="14" t="n">
        <x:f>IF(OR(I27="",J27=""),"",I27*J27)</x:f>
        <x:v>1.1488</x:v>
      </x:c>
      <x:c r="M27" s="10" t="str">
        <x:v>页面现货38059，库存标记2026-10-01 22:03英国当地；公开价格，非成交价</x:v>
      </x:c>
    </x:row>
    <x:row r="28" ht="42" customHeight="1">
      <x:c r="A28" s="9" t="str">
        <x:v>H15.2</x:v>
      </x:c>
      <x:c r="B28" s="9" t="str">
        <x:v>H15</x:v>
      </x:c>
      <x:c r="C28" s="9" t="str">
        <x:v>平垫</x:v>
      </x:c>
      <x:c r="D28" s="9" t="str">
        <x:v>29733 / M6 T1.6</x:v>
      </x:c>
      <x:c r="E28" s="16" t="str">
        <x:v>https://www.mofakult.fr/en/washer-m6-6-4-12-1-6-galvanized-29733</x:v>
      </x:c>
      <x:c r="F28" s="11" t="n">
        <x:v>16</x:v>
      </x:c>
      <x:c r="G28" s="11" t="n">
        <x:v>1</x:v>
      </x:c>
      <x:c r="H28" s="11" t="n">
        <x:v>1</x:v>
      </x:c>
      <x:c r="I28" s="11" t="n">
        <x:f>IF(OR(F28="",G28=""),"",MAX(ROUNDUP(F28/G28,0),H28))</x:f>
        <x:v>16</x:v>
      </x:c>
      <x:c r="J28" s="15" t="n">
        <x:v>0.35</x:v>
      </x:c>
      <x:c r="K28" s="9" t="str">
        <x:v>EUR</x:v>
      </x:c>
      <x:c r="L28" s="13" t="n">
        <x:f>IF(OR(I28="",J28=""),"",I28*J28)</x:f>
        <x:v>5.6</x:v>
      </x:c>
      <x:c r="M28" s="9" t="str">
        <x:v>商品页可加入购物车；未披露具体库存数；公开价格，非成交价</x:v>
      </x:c>
    </x:row>
    <x:row r="29" ht="42" customHeight="1">
      <x:c r="A29" s="10" t="str">
        <x:v>H16.1</x:v>
      </x:c>
      <x:c r="B29" s="10" t="str">
        <x:v>H16</x:v>
      </x:c>
      <x:c r="C29" s="10" t="str">
        <x:v>横梁M6焊接螺母</x:v>
      </x:c>
      <x:c r="D29" s="10" t="str">
        <x:v>Orbital2835000 / DIN929 M6钢本色</x:v>
      </x:c>
      <x:c r="E29" s="17" t="str">
        <x:v>https://www.orbitalfasteners.co.uk/products/m6-mild-steel-hexagon-we-ld-nut-self-colour</x:v>
      </x:c>
      <x:c r="F29" s="12" t="n">
        <x:v>16</x:v>
      </x:c>
      <x:c r="G29" s="12" t="n">
        <x:v>1</x:v>
      </x:c>
      <x:c r="H29" s="12" t="n">
        <x:v>1</x:v>
      </x:c>
      <x:c r="I29" s="12" t="n">
        <x:f>IF(OR(F29="",G29=""),"",MAX(ROUNDUP(F29/G29,0),H29))</x:f>
        <x:v>16</x:v>
      </x:c>
      <x:c r="J29" s="15" t="n">
        <x:v>0.0182</x:v>
      </x:c>
      <x:c r="K29" s="10" t="str">
        <x:v>GBP</x:v>
      </x:c>
      <x:c r="L29" s="14" t="n">
        <x:f>IF(OR(I29="",J29=""),"",I29*J29)</x:f>
        <x:v>0.2912</x:v>
      </x:c>
      <x:c r="M29" s="10" t="str">
        <x:v>页面现货1943，库存标记2026-10-01 22:03英国当地；公开价格，非成交价</x:v>
      </x:c>
    </x:row>
    <x:row r="30" ht="42" customHeight="1">
      <x:c r="A30" s="9" t="str">
        <x:v>H17.1</x:v>
      </x:c>
      <x:c r="B30" s="9" t="str">
        <x:v>H17</x:v>
      </x:c>
      <x:c r="C30" s="9" t="str">
        <x:v>螺钉</x:v>
      </x:c>
      <x:c r="D30" s="9" t="str">
        <x:v>W4631 / DIN912 M4×25</x:v>
      </x:c>
      <x:c r="E30" s="16" t="str">
        <x:v>https://www.fastenersfixingsandtools.co.uk/products/soc-cap-for-zinc-m4x25odin-912-grd129-300mm-keyoo</x:v>
      </x:c>
      <x:c r="F30" s="11" t="n">
        <x:v>8</x:v>
      </x:c>
      <x:c r="G30" s="11" t="n">
        <x:v>50</x:v>
      </x:c>
      <x:c r="H30" s="11" t="n">
        <x:v>1</x:v>
      </x:c>
      <x:c r="I30" s="11" t="n">
        <x:f>IF(OR(F30="",G30=""),"",MAX(ROUNDUP(F30/G30,0),H30))</x:f>
        <x:v>1</x:v>
      </x:c>
      <x:c r="J30" s="15" t="n">
        <x:v>2.95</x:v>
      </x:c>
      <x:c r="K30" s="9" t="str">
        <x:v>GBP</x:v>
      </x:c>
      <x:c r="L30" s="13" t="n">
        <x:f>IF(OR(I30="",J30=""),"",I30*J30)</x:f>
        <x:v>2.95</x:v>
      </x:c>
      <x:c r="M30" s="9" t="str">
        <x:v>正文In stock and ready to dispatch；只明确UK Mainland配送；公开价格，非成交价</x:v>
      </x:c>
    </x:row>
    <x:row r="31" ht="42" customHeight="1">
      <x:c r="A31" s="10" t="str">
        <x:v>H17.2</x:v>
      </x:c>
      <x:c r="B31" s="10" t="str">
        <x:v>H17</x:v>
      </x:c>
      <x:c r="C31" s="10" t="str">
        <x:v>平垫</x:v>
      </x:c>
      <x:c r="D31" s="10" t="str">
        <x:v>WDS776-M4-ZP</x:v>
      </x:c>
      <x:c r="E31" s="17" t="str">
        <x:v>https://www.wdscomponents.com/en-gb/m4-zinc-plated-form-a-washers</x:v>
      </x:c>
      <x:c r="F31" s="12" t="n">
        <x:v>8</x:v>
      </x:c>
      <x:c r="G31" s="12" t="n">
        <x:v>1</x:v>
      </x:c>
      <x:c r="H31" s="12" t="n">
        <x:v>1</x:v>
      </x:c>
      <x:c r="I31" s="12" t="n">
        <x:f>IF(OR(F31="",G31=""),"",MAX(ROUNDUP(F31/G31,0),H31))</x:f>
        <x:v>8</x:v>
      </x:c>
      <x:c r="J31" s="15" t="n">
        <x:v>0.08</x:v>
      </x:c>
      <x:c r="K31" s="10" t="str">
        <x:v>GBP</x:v>
      </x:c>
      <x:c r="L31" s="14" t="n">
        <x:f>IF(OR(I31="",J31=""),"",I31*J31)</x:f>
        <x:v>0.64</x:v>
      </x:c>
      <x:c r="M31" s="10" t="str">
        <x:v>Stock Availability 500+；Stock Guaranteed Yes；公开价格，非成交价</x:v>
      </x:c>
    </x:row>
    <x:row r="32" ht="42" customHeight="1">
      <x:c r="A32" s="9" t="str">
        <x:v>H18.1</x:v>
      </x:c>
      <x:c r="B32" s="9" t="str">
        <x:v>H18</x:v>
      </x:c>
      <x:c r="C32" s="9" t="str">
        <x:v>承托盒M4焊接螺母</x:v>
      </x:c>
      <x:c r="D32" s="9" t="str">
        <x:v>DIN929 M4 钢本色</x:v>
      </x:c>
      <x:c r="E32" s="16" t="str">
        <x:v>https://schrauben-expert.de/weld-groove-DIN-929-M4-Steel</x:v>
      </x:c>
      <x:c r="F32" s="11" t="n">
        <x:v>8</x:v>
      </x:c>
      <x:c r="G32" s="11" t="n">
        <x:v>1</x:v>
      </x:c>
      <x:c r="H32" s="11" t="n">
        <x:v>10</x:v>
      </x:c>
      <x:c r="I32" s="11" t="n">
        <x:f>IF(OR(F32="",G32=""),"",MAX(ROUNDUP(F32/G32,0),H32))</x:f>
        <x:v>10</x:v>
      </x:c>
      <x:c r="J32" s="15" t="n">
        <x:v>0.33</x:v>
      </x:c>
      <x:c r="K32" s="9" t="str">
        <x:v>EUR</x:v>
      </x:c>
      <x:c r="L32" s="13" t="n">
        <x:f>IF(OR(I32="",J32=""),"",I32*J32)</x:f>
        <x:v>3.3000000000000003</x:v>
      </x:c>
      <x:c r="M32" s="9" t="str">
        <x:v>245只express库存，另31000常规库存；公开价格，非成交价</x:v>
      </x:c>
    </x:row>
    <x:row r="33" ht="42" customHeight="1">
      <x:c r="A33" s="10" t="str">
        <x:v>H19.1</x:v>
      </x:c>
      <x:c r="B33" s="10" t="str">
        <x:v>H19</x:v>
      </x:c>
      <x:c r="C33" s="10" t="str">
        <x:v>翻盖独立承托角码</x:v>
      </x:c>
      <x:c r="D33" s="10" t="str">
        <x:v>SU-30S / 120-030-070</x:v>
      </x:c>
      <x:c r="E33" s="17" t="str">
        <x:v>https://search.sugatsune.co.jp/product/g/gSU/?category=200999</x:v>
      </x:c>
      <x:c r="F33" s="12" t="n">
        <x:v>8</x:v>
      </x:c>
      <x:c r="G33" s="12" t="n">
        <x:v>1</x:v>
      </x:c>
      <x:c r="H33" s="12" t="n">
        <x:v>1</x:v>
      </x:c>
      <x:c r="I33" s="12" t="n">
        <x:f>IF(OR(F33="",G33=""),"",MAX(ROUNDUP(F33/G33,0),H33))</x:f>
        <x:v>8</x:v>
      </x:c>
      <x:c r="J33" s="15" t="n">
        <x:v>539</x:v>
      </x:c>
      <x:c r="K33" s="10" t="str">
        <x:v>JPY</x:v>
      </x:c>
      <x:c r="L33" s="14" t="n">
        <x:f>IF(OR(I33="",J33=""),"",I33*J33)</x:f>
        <x:v>4312</x:v>
      </x:c>
      <x:c r="M33" s="10" t="str">
        <x:v>原厂参考价；原厂订单入口；登录后显示库存，MOQ未核；公开价格，非成交价</x:v>
      </x:c>
    </x:row>
    <x:row r="34" ht="42" customHeight="1">
      <x:c r="A34" s="9" t="str">
        <x:v>H20.1</x:v>
      </x:c>
      <x:c r="B34" s="9" t="str">
        <x:v>H20</x:v>
      </x:c>
      <x:c r="C34" s="9" t="str">
        <x:v>角码木螺钉</x:v>
      </x:c>
      <x:c r="D34" s="9" t="str">
        <x:v>WV007880 / φ3×12沉头TX10</x:v>
      </x:c>
      <x:c r="E34" s="16" t="str">
        <x:v>https://www.wovar.co.uk/chipboard-screws-galvanised-3x12mm/</x:v>
      </x:c>
      <x:c r="F34" s="11" t="n">
        <x:v>16</x:v>
      </x:c>
      <x:c r="G34" s="11" t="n">
        <x:v>200</x:v>
      </x:c>
      <x:c r="H34" s="11" t="n">
        <x:v>1</x:v>
      </x:c>
      <x:c r="I34" s="11" t="n">
        <x:f>IF(OR(F34="",G34=""),"",MAX(ROUNDUP(F34/G34,0),H34))</x:f>
        <x:v>1</x:v>
      </x:c>
      <x:c r="J34" s="15" t="n">
        <x:v>2.99</x:v>
      </x:c>
      <x:c r="K34" s="9" t="str">
        <x:v>GBP</x:v>
      </x:c>
      <x:c r="L34" s="13" t="n">
        <x:f>IF(OR(I34="",J34=""),"",I34*J34)</x:f>
        <x:v>2.99</x:v>
      </x:c>
      <x:c r="M34" s="9" t="str">
        <x:v>正文314盒in stock；公开价格，非成交价</x:v>
      </x:c>
    </x:row>
    <x:row r="35" ht="42" customHeight="1">
      <x:c r="A35" s="10" t="str">
        <x:v>H21.1</x:v>
      </x:c>
      <x:c r="B35" s="10" t="str">
        <x:v>H21</x:v>
      </x:c>
      <x:c r="C35" s="10" t="str">
        <x:v>角码软垫</x:v>
      </x:c>
      <x:c r="D35" s="10" t="str">
        <x:v>100191 / EAN4260627935185</x:v>
      </x:c>
      <x:c r="E35" s="17" t="str">
        <x:v>https://www.fugendichtband24.de/EPDM-Vollgummimatte-2mm-Staerke-200mm-x-300mm-einseitig-selbstklebend-ca-65-Shore-A.htm</x:v>
      </x:c>
      <x:c r="F35" s="12" t="n">
        <x:v>8</x:v>
      </x:c>
      <x:c r="G35" s="12" t="n">
        <x:v>1</x:v>
      </x:c>
      <x:c r="H35" s="12" t="n">
        <x:v>1</x:v>
      </x:c>
      <x:c r="I35" s="12" t="n">
        <x:f>IF(OR(F35="",G35=""),"",MAX(ROUNDUP(F35/G35,0),H35))</x:f>
        <x:v>8</x:v>
      </x:c>
      <x:c r="J35" s="15" t="n">
        <x:v>3.5</x:v>
      </x:c>
      <x:c r="K35" s="10" t="str">
        <x:v>EUR</x:v>
      </x:c>
      <x:c r="L35" s="14" t="n">
        <x:f>IF(OR(I35="",J35=""),"",I35*J35)</x:f>
        <x:v>28</x:v>
      </x:c>
      <x:c r="M35" s="10" t="str">
        <x:v>正文Am Lager，1~2天发货；公开价格，非成交价</x:v>
      </x:c>
    </x:row>
    <x:row r="36" ht="42" customHeight="1">
      <x:c r="A36" s="9" t="str">
        <x:v>H22.1</x:v>
      </x:c>
      <x:c r="B36" s="9" t="str">
        <x:v>H22</x:v>
      </x:c>
      <x:c r="C36" s="9" t="str">
        <x:v>横梁调整垫片</x:v>
      </x:c>
      <x:c r="D36" s="9" t="str">
        <x:v>W29338 / DIN988 6×12×1</x:v>
      </x:c>
      <x:c r="E36" s="16" t="str">
        <x:v>https://www.wkooa.com/product/6x12x1-shim-washers-stainless-steel-round-metric-din988-w29338</x:v>
      </x:c>
      <x:c r="F36" s="11" t="n">
        <x:v>64</x:v>
      </x:c>
      <x:c r="G36" s="11" t="n">
        <x:v>100</x:v>
      </x:c>
      <x:c r="H36" s="11" t="n">
        <x:v>1</x:v>
      </x:c>
      <x:c r="I36" s="11" t="n">
        <x:f>IF(OR(F36="",G36=""),"",MAX(ROUNDUP(F36/G36,0),H36))</x:f>
        <x:v>1</x:v>
      </x:c>
      <x:c r="J36" s="15" t="n">
        <x:v>8</x:v>
      </x:c>
      <x:c r="K36" s="9" t="str">
        <x:v>USD</x:v>
      </x:c>
      <x:c r="L36" s="13" t="n">
        <x:f>IF(OR(I36="",J36=""),"",I36*J36)</x:f>
        <x:v>8</x:v>
      </x:c>
      <x:c r="M36" s="9" t="str">
        <x:v>In stock；公开价格，非成交价</x:v>
      </x:c>
    </x:row>
    <x:row r="37" ht="42" customHeight="1">
      <x:c r="A37" s="10" t="str">
        <x:v>H23.1</x:v>
      </x:c>
      <x:c r="B37" s="10" t="str">
        <x:v>H23</x:v>
      </x:c>
      <x:c r="C37" s="10" t="str">
        <x:v>检修盖及吊板防坠索</x:v>
      </x:c>
      <x:c r="D37" s="10" t="str">
        <x:v>GN111.2-150-C-BL</x:v>
      </x:c>
      <x:c r="E37" s="17" t="str">
        <x:v>https://biotek.hu/termek/ele85413-gn-1112-150-c-bl?lang=en</x:v>
      </x:c>
      <x:c r="F37" s="12" t="n">
        <x:v>4</x:v>
      </x:c>
      <x:c r="G37" s="12" t="n">
        <x:v>1</x:v>
      </x:c>
      <x:c r="H37" s="12" t="n">
        <x:v>1</x:v>
      </x:c>
      <x:c r="I37" s="12" t="n">
        <x:f>IF(OR(F37="",G37=""),"",MAX(ROUNDUP(F37/G37,0),H37))</x:f>
        <x:v>4</x:v>
      </x:c>
      <x:c r="J37" s="15" t="n">
        <x:v>2119</x:v>
      </x:c>
      <x:c r="K37" s="10" t="str">
        <x:v>HUF</x:v>
      </x:c>
      <x:c r="L37" s="14" t="n">
        <x:f>IF(OR(I37="",J37=""),"",I37*J37)</x:f>
        <x:v>8476</x:v>
      </x:c>
      <x:c r="M37" s="10" t="str">
        <x:v>仅结构化公开Offer，待确认报价；BackOrder；正文无现货；公开价格，非成交价</x:v>
      </x:c>
    </x:row>
    <x:row r="38" ht="42" customHeight="1">
      <x:c r="A38" s="9" t="str">
        <x:v>H24.1</x:v>
      </x:c>
      <x:c r="B38" s="9" t="str">
        <x:v>H24</x:v>
      </x:c>
      <x:c r="C38" s="9" t="str">
        <x:v>螺钉</x:v>
      </x:c>
      <x:c r="D38" s="9" t="str">
        <x:v>PPH7985H-M4-16-A2</x:v>
      </x:c>
      <x:c r="E38" s="16" t="str">
        <x:v>https://www.vital-parts.co.uk/phillips-pan-head-machine-screws-din-7985h/17031-pph7985h-m4-16-a2</x:v>
      </x:c>
      <x:c r="F38" s="11" t="n">
        <x:v>8</x:v>
      </x:c>
      <x:c r="G38" s="11" t="n">
        <x:v>1</x:v>
      </x:c>
      <x:c r="H38" s="11" t="n">
        <x:v>1</x:v>
      </x:c>
      <x:c r="I38" s="11" t="n">
        <x:f>IF(OR(F38="",G38=""),"",MAX(ROUNDUP(F38/G38,0),H38))</x:f>
        <x:v>8</x:v>
      </x:c>
      <x:c r="J38" s="15" t="n">
        <x:v>0.34</x:v>
      </x:c>
      <x:c r="K38" s="9" t="str">
        <x:v>GBP</x:v>
      </x:c>
      <x:c r="L38" s="13" t="n">
        <x:f>IF(OR(I38="",J38=""),"",I38*J38)</x:f>
        <x:v>2.72</x:v>
      </x:c>
      <x:c r="M38" s="9" t="str">
        <x:v>现货930，可选同日发货；公开价格，非成交价</x:v>
      </x:c>
    </x:row>
    <x:row r="39" ht="42" customHeight="1">
      <x:c r="A39" s="10" t="str">
        <x:v>H24.2</x:v>
      </x:c>
      <x:c r="B39" s="10" t="str">
        <x:v>H24</x:v>
      </x:c>
      <x:c r="C39" s="10" t="str">
        <x:v>大垫</x:v>
      </x:c>
      <x:c r="D39" s="10" t="str">
        <x:v>Classic WFSM412A2 / DIN9021 M4 A2</x:v>
      </x:c>
      <x:c r="E39" s="17" t="str">
        <x:v>https://www.classicfasteners.com.au/m4-x-12-x-1-0-flat-washer-stainless-304-din9021-qty-200/?setCurrencyId=1</x:v>
      </x:c>
      <x:c r="F39" s="12" t="n">
        <x:v>16</x:v>
      </x:c>
      <x:c r="G39" s="12" t="n">
        <x:v>200</x:v>
      </x:c>
      <x:c r="H39" s="12" t="n">
        <x:v>1</x:v>
      </x:c>
      <x:c r="I39" s="12" t="n">
        <x:f>IF(OR(F39="",G39=""),"",MAX(ROUNDUP(F39/G39,0),H39))</x:f>
        <x:v>1</x:v>
      </x:c>
      <x:c r="J39" s="15" t="n">
        <x:v>3</x:v>
      </x:c>
      <x:c r="K39" s="10" t="str">
        <x:v>AUD</x:v>
      </x:c>
      <x:c r="L39" s="14" t="n">
        <x:f>IF(OR(I39="",J39=""),"",I39*J39)</x:f>
        <x:v>3</x:v>
      </x:c>
      <x:c r="M39" s="10" t="str">
        <x:v>结构化InStock，可加购物车，库存数未披露；公开价格，非成交价</x:v>
      </x:c>
    </x:row>
    <x:row r="40" ht="42" customHeight="1">
      <x:c r="A40" s="9" t="str">
        <x:v>H24.3</x:v>
      </x:c>
      <x:c r="B40" s="9" t="str">
        <x:v>H24</x:v>
      </x:c>
      <x:c r="C40" s="9" t="str">
        <x:v>防松母</x:v>
      </x:c>
      <x:c r="D40" s="9" t="str">
        <x:v>2121010 / DIN985 M4 A2</x:v>
      </x:c>
      <x:c r="E40" s="16" t="str">
        <x:v>https://www.orbitalfasteners.co.uk/products/m4-nyloc-nuts-stainless-steel-a2-304-din-985-type-t</x:v>
      </x:c>
      <x:c r="F40" s="11" t="n">
        <x:v>8</x:v>
      </x:c>
      <x:c r="G40" s="11" t="n">
        <x:v>1</x:v>
      </x:c>
      <x:c r="H40" s="11" t="n">
        <x:v>1</x:v>
      </x:c>
      <x:c r="I40" s="11" t="n">
        <x:f>IF(OR(F40="",G40=""),"",MAX(ROUNDUP(F40/G40,0),H40))</x:f>
        <x:v>8</x:v>
      </x:c>
      <x:c r="J40" s="15" t="n">
        <x:v>0.0359</x:v>
      </x:c>
      <x:c r="K40" s="9" t="str">
        <x:v>GBP</x:v>
      </x:c>
      <x:c r="L40" s="13" t="n">
        <x:f>IF(OR(I40="",J40=""),"",I40*J40)</x:f>
        <x:v>0.2872</x:v>
      </x:c>
      <x:c r="M40" s="9" t="str">
        <x:v>页面现货57263，库存标记2026-10-01 22:02英国当地；公开价格，非成交价</x:v>
      </x:c>
    </x:row>
    <x:row r="41" ht="42" customHeight="1">
      <x:c r="A41" s="10" t="str">
        <x:v>H25.1</x:v>
      </x:c>
      <x:c r="B41" s="10" t="str">
        <x:v>H25</x:v>
      </x:c>
      <x:c r="C41" s="10" t="str">
        <x:v>分体穿线护圈</x:v>
      </x:c>
      <x:c r="D41" s="10" t="str">
        <x:v>CHC-S18BL</x:v>
      </x:c>
      <x:c r="E41" s="17" t="str">
        <x:v>https://www.sugatsune.com/split-cable-grommet-chc-s18bl/</x:v>
      </x:c>
      <x:c r="F41" s="12" t="n">
        <x:v>20</x:v>
      </x:c>
      <x:c r="G41" s="12" t="n">
        <x:v>1</x:v>
      </x:c>
      <x:c r="H41" s="12" t="n">
        <x:v>1</x:v>
      </x:c>
      <x:c r="I41" s="12" t="n">
        <x:f>IF(OR(F41="",G41=""),"",MAX(ROUNDUP(F41/G41,0),H41))</x:f>
        <x:v>20</x:v>
      </x:c>
      <x:c r="J41" s="15" t="n">
        <x:v>11.1</x:v>
      </x:c>
      <x:c r="K41" s="10" t="str">
        <x:v>USD</x:v>
      </x:c>
      <x:c r="L41" s="14" t="n">
        <x:f>IF(OR(I41="",J41=""),"",I41*J41)</x:f>
        <x:v>222</x:v>
      </x:c>
      <x:c r="M41" s="10" t="str">
        <x:v>原厂页面标价；公开标价及购物入口；具体库存数与中国配送未核；公开价格，非成交价</x:v>
      </x:c>
    </x:row>
    <x:row r="42" ht="42" customHeight="1">
      <x:c r="A42" s="9" t="str">
        <x:v>H26.1</x:v>
      </x:c>
      <x:c r="B42" s="9" t="str">
        <x:v>H26</x:v>
      </x:c>
      <x:c r="C42" s="9" t="str">
        <x:v>可拔孔盖</x:v>
      </x:c>
      <x:c r="D42" s="9" t="str">
        <x:v>045.00.332</x:v>
      </x:c>
      <x:c r="E42" s="16" t="str">
        <x:v>https://www.hwt-pro.com/befestigungsmaterial/abdeckkappen/haefele-abdeckkappe-fuer-blindbohrung-oe-12-mm-kunststoff-1003852m</x:v>
      </x:c>
      <x:c r="F42" s="11" t="n">
        <x:v>10</x:v>
      </x:c>
      <x:c r="G42" s="11" t="n">
        <x:v>1</x:v>
      </x:c>
      <x:c r="H42" s="11" t="n">
        <x:v>1</x:v>
      </x:c>
      <x:c r="I42" s="11" t="n">
        <x:f>IF(OR(F42="",G42=""),"",MAX(ROUNDUP(F42/G42,0),H42))</x:f>
        <x:v>10</x:v>
      </x:c>
      <x:c r="J42" s="15" t="n">
        <x:v>0.15</x:v>
      </x:c>
      <x:c r="K42" s="9" t="str">
        <x:v>EUR</x:v>
      </x:c>
      <x:c r="L42" s="13" t="n">
        <x:f>IF(OR(I42="",J42=""),"",I42*J42)</x:f>
        <x:v>1.5</x:v>
      </x:c>
      <x:c r="M42" s="9" t="str">
        <x:v>销售页面1–19只档；页面有货，1–3天；未核中国配送；公开价格，非成交价</x:v>
      </x:c>
    </x:row>
  </x:sheetData>
  <x:pageMargins left="0.7" right="0.7" top="0.75" bottom="0.75" header="0.3" footer="0.3"/>
  <x:tableParts count="1">
    <x:tablePart xmlns:r="http://schemas.openxmlformats.org/officeDocument/2006/relationships" r:id="R7f70ff3d82de4c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5" hidden="0" customWidth="1"/>
    <x:col min="2" max="2" width="75" hidden="0" customWidth="1"/>
    <x:col min="3" max="3" width="76" hidden="0" customWidth="1"/>
  </x:cols>
  <x:sheetData>
    <x:row r="1" ht="26" customHeight="1">
      <x:c r="A1" s="2"/>
      <x:c r="B1" s="2"/>
      <x:c r="C1" s="2"/>
    </x:row>
    <x:row r="2" ht="26" customHeight="1">
      <x:c r="A2" s="3" t="str">
        <x:v>待核接口与放行条件</x:v>
      </x:c>
      <x:c r="B2" s="2"/>
      <x:c r="C2" s="2"/>
    </x:row>
    <x:row r="3" ht="26" customHeight="1">
      <x:c r="A3" s="2" t="str">
        <x:v>HW73005-L2000　R04　2026-10-02　单位：mm；数量按一桌</x:v>
      </x:c>
      <x:c r="B3" s="2"/>
      <x:c r="C3" s="2"/>
    </x:row>
    <x:row r="4" ht="26" customHeight="1">
      <x:c r="A4" s="2"/>
      <x:c r="B4" s="2"/>
      <x:c r="C4" s="2"/>
    </x:row>
    <x:row r="5" ht="26" customHeight="1">
      <x:c r="A5" s="2" t="str">
        <x:v>价格为公开参考价，未含未声明的税费、运费与进口费用；待核项见第三页。</x:v>
      </x:c>
      <x:c r="B5" s="2"/>
      <x:c r="C5" s="2"/>
    </x:row>
    <x:row r="6" ht="26" customHeight="1">
      <x:c r="A6" s="2"/>
      <x:c r="B6" s="2"/>
      <x:c r="C6" s="2"/>
    </x:row>
    <x:row r="7" ht="34" customHeight="1">
      <x:c r="A7" s="7" t="str">
        <x:v>接口</x:v>
      </x:c>
      <x:c r="B7" s="7" t="str">
        <x:v>当前证据</x:v>
      </x:c>
      <x:c r="C7" s="7" t="str">
        <x:v>放行前动作</x:v>
      </x:c>
    </x:row>
    <x:row r="8" ht="62" customHeight="1">
      <x:c r="A8" s="9" t="str">
        <x:v>主电源线</x:v>
      </x:c>
      <x:c r="B8" s="9" t="str">
        <x:v>Interpower 86272210为国标16A、3×1.5mm²、2.5m标准线；同版W00中心线路径2417.0mm，尚未计桌外使用长度。</x:v>
      </x:c>
      <x:c r="C8" s="9" t="str">
        <x:v>按同结构4.0m厂制定制并取得线径公差、CCC和单价；现阶段不可用2.5m替代。</x:v>
      </x:c>
    </x:row>
    <x:row r="9" ht="62" customHeight="1">
      <x:c r="A9" s="10" t="str">
        <x:v>单腿防拉脱</x:v>
      </x:c>
      <x:c r="B9" s="10" t="str">
        <x:v>腿底Heyco2053仅防磨线；近C装Phoenix Contact 1411133密封件与1411215锁母，夹持外径6-12。</x:v>
      </x:c>
      <x:c r="C9" s="10" t="str">
        <x:v>按厂制线实际外径装配、锁紧并做拉力首件；检查从桌肚下方可维护。</x:v>
      </x:c>
    </x:row>
    <x:row r="10" ht="62" customHeight="1">
      <x:c r="A10" s="9" t="str">
        <x:v>分线盒进线</x:v>
      </x:c>
      <x:c r="B10" s="9" t="str">
        <x:v>JB1主线入口K10与最终接头孔径尚未按厂家模板确定。</x:v>
      </x:c>
      <x:c r="C10" s="9" t="str">
        <x:v>选定成品接头与盒体开孔模板后，更新局部图并首件配装。</x:v>
      </x:c>
    </x:row>
    <x:row r="11" ht="62" customHeight="1">
      <x:c r="A11" s="10" t="str">
        <x:v>H04锁具</x:v>
      </x:c>
      <x:c r="B11" s="10" t="str">
        <x:v>MS705-1-1直槽完整35舌套件只核到型号与安装包络。</x:v>
      </x:c>
      <x:c r="C11" s="10" t="str">
        <x:v>向同型号渠道取得含锁舌、垫片及紧固件的单价与库存。</x:v>
      </x:c>
    </x:row>
    <x:row r="12" ht="62" customHeight="1">
      <x:c r="A12" s="9" t="str">
        <x:v>齐平孔盖</x:v>
      </x:c>
      <x:c r="B12" s="9" t="str">
        <x:v>H26原为Φ12木孔压入；本项目插入H25金属Φ12内孔。</x:v>
      </x:c>
      <x:c r="C12" s="9" t="str">
        <x:v>同批样件验证可拔力、保持力、最高点不高于桌面。</x:v>
      </x:c>
    </x:row>
    <x:row r="13" ht="62" customHeight="1">
      <x:c r="A13" s="10" t="str">
        <x:v>暗铰</x:v>
      </x:c>
      <x:c r="B13" s="10" t="str">
        <x:v>SOSS 101侧埋E2、0.8闭合缝按厂家尺寸链设计。</x:v>
      </x:c>
      <x:c r="C13" s="10" t="str">
        <x:v>同批板加工样件核90°开合、侧缝、上表面完整与承载。</x:v>
      </x:c>
    </x:row>
    <x:row r="14" ht="62" customHeight="1">
      <x:c r="A14" s="9" t="str">
        <x:v>激光折件</x:v>
      </x:c>
      <x:c r="B14" s="9" t="str">
        <x:v>R/K与V槽余厚为设计候选，19种原生DXF、1种型材锯切已出。</x:v>
      </x:c>
      <x:c r="C14" s="9" t="str">
        <x:v>同材试折及首件反算后冻结刀模/割缝参数。</x:v>
      </x:c>
    </x:row>
  </x:sheetData>
  <x:pageMargins left="0.7" right="0.7" top="0.75" bottom="0.75" header="0.3" footer="0.3"/>
  <x:tableParts count="1">
    <x:tablePart xmlns:r="http://schemas.openxmlformats.org/officeDocument/2006/relationships" r:id="R3bf8542e4166457f"/>
  </x:tableParts>
</x:worksheet>
</file>