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0565f1b07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总表" sheetId="1" r:id="R0fce8eea80d747a9"/>
    <x:sheet xmlns:r="http://schemas.openxmlformats.org/officeDocument/2006/relationships" name="配套拆分" sheetId="2" r:id="R6254700e6abf4253"/>
    <x:sheet xmlns:r="http://schemas.openxmlformats.org/officeDocument/2006/relationships" name="来源链接" sheetId="3" r:id="Rbbd12f6236f14004"/>
    <x:sheet xmlns:r="http://schemas.openxmlformats.org/officeDocument/2006/relationships" name="采购说明" sheetId="4" r:id="Rd82d03f58c63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5333D"/>
      <x:name val="Arial"/>
    </x:font>
    <x:font>
      <x:b/>
      <x:sz val="16"/>
      <x:color rgb="FF25333D"/>
      <x:name val="Arial"/>
    </x:font>
    <x:font>
      <x:sz val="10"/>
      <x:color rgb="FF687681"/>
      <x:name val="Arial"/>
    </x:font>
    <x:font>
      <x:b/>
      <x:sz val="10"/>
      <x:color rgb="FFFFFFFF"/>
      <x:name val="Arial"/>
    </x:font>
    <x:font>
      <x:sz val="10"/>
      <x:color rgb="FF165A9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0C9"/>
      </x:patternFill>
    </x:fill>
    <x:fill>
      <x:patternFill patternType="solid">
        <x:fgColor rgb="FF344E61"/>
      </x:patternFill>
    </x:fill>
    <x:fill>
      <x:patternFill patternType="solid">
        <x:fgColor rgb="FFF1F5F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20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52ed15709429b" /><Relationship Type="http://schemas.openxmlformats.org/officeDocument/2006/relationships/theme" Target="/xl/theme/theme1.xml" Id="R4071b94667c4447d" /><Relationship Type="http://schemas.openxmlformats.org/officeDocument/2006/relationships/sharedStrings" Target="/xl/sharedStrings.xml" Id="R5261a4a645f344cb" /><Relationship Type="http://schemas.openxmlformats.org/officeDocument/2006/relationships/worksheet" Target="/xl/worksheets/sheet1.xml" Id="R0fce8eea80d747a9" /><Relationship Type="http://schemas.openxmlformats.org/officeDocument/2006/relationships/worksheet" Target="/xl/worksheets/sheet2.xml" Id="R6254700e6abf4253" /><Relationship Type="http://schemas.openxmlformats.org/officeDocument/2006/relationships/worksheet" Target="/xl/worksheets/sheet3.xml" Id="Rbbd12f6236f14004" /><Relationship Type="http://schemas.openxmlformats.org/officeDocument/2006/relationships/worksheet" Target="/xl/worksheets/sheet4.xml" Id="Rd82d03f58c634019" /></Relationships>
</file>

<file path=xl/tables/table1.xml><?xml version="1.0" encoding="utf-8"?>
<x:table xmlns:x="http://schemas.openxmlformats.org/spreadsheetml/2006/main" id="1" name="Purchase1" displayName="Purchase1" ref="A7:N59" headerRowCount="1" totalsRowCount="0" totalsRowShown="0">
  <x:autoFilter ref="A7:N59"/>
  <x:tableColumns count="14">
    <x:tableColumn id="1" name="件号"/>
    <x:tableColumn id="2" name="名称"/>
    <x:tableColumn id="3" name="类别"/>
    <x:tableColumn id="4" name="品牌 / 型号"/>
    <x:tableColumn id="5" name="所属装配"/>
    <x:tableColumn id="6" name="每桌用量"/>
    <x:tableColumn id="7" name="单位"/>
    <x:tableColumn id="8" name="本批用量"/>
    <x:tableColumn id="9" name="图号"/>
    <x:tableColumn id="10" name="包装量"/>
    <x:tableColumn id="11" name="包装单位"/>
    <x:tableColumn id="12" name="成品 / 已核规格"/>
    <x:tableColumn id="13" name="安装及待核条件"/>
    <x:tableColumn id="14" name="采购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rchase2" displayName="Purchase2" ref="A7:I33" headerRowCount="1" totalsRowCount="0" totalsRowShown="0">
  <x:autoFilter ref="A7:I33"/>
  <x:tableColumns count="9">
    <x:tableColumn id="1" name="子项编号"/>
    <x:tableColumn id="2" name="父级套件"/>
    <x:tableColumn id="3" name="独立采购规格"/>
    <x:tableColumn id="4" name="每桌用量"/>
    <x:tableColumn id="5" name="单位"/>
    <x:tableColumn id="6" name="本批用量"/>
    <x:tableColumn id="7" name="每包装量"/>
    <x:tableColumn id="8" name="建议包数"/>
    <x:tableColumn id="9" name="计数 / 裁切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chase3" displayName="Purchase3" ref="A7:E147" headerRowCount="1" totalsRowCount="0" totalsRowShown="0">
  <x:autoFilter ref="A7:E147"/>
  <x:tableColumns count="5">
    <x:tableColumn id="1" name="对应编号"/>
    <x:tableColumn id="2" name="来源类型"/>
    <x:tableColumn id="3" name="可点击链接"/>
    <x:tableColumn id="4" name="已核事实 / 边界"/>
    <x:tableColumn id="5" name="完整URL（复制用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urchase4" displayName="Purchase4" ref="A7:B15" headerRowCount="1" totalsRowCount="0" totalsRowShown="0">
  <x:autoFilter ref="A7:B15"/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1e71c8452945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a9cb62e4da4810" /></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table" Target="/xl/tables/table3.xml" Id="R02a1207e8d284bf6" /><ns0:Relationship Id="rIdPurchaseLink1" Type="http://schemas.openxmlformats.org/officeDocument/2006/relationships/hyperlink" Target="https://global.sugatsune.com/cn/zh-cn/tech/products/22772_t" TargetMode="External" /><ns0:Relationship Id="rIdPurchaseLink2" Type="http://schemas.openxmlformats.org/officeDocument/2006/relationships/hyperlink" Target="https://www.sugatsune.com/content/page-files/product-literature/catalog-201c-641-667-casters-and-leveling-glides.pdf" TargetMode="External" /><ns0:Relationship Id="rIdPurchaseLink3" Type="http://schemas.openxmlformats.org/officeDocument/2006/relationships/hyperlink" Target="https://global.sugatsune.com/cn/zh-cn/tech/products/22772_t" TargetMode="External" /><ns0:Relationship Id="rIdPurchaseLink4" Type="http://schemas.openxmlformats.org/officeDocument/2006/relationships/hyperlink" Target="https://www.nufast.co.uk/uploads/DIN_929.pdf" TargetMode="External" /><ns0:Relationship Id="rIdPurchaseLink5" Type="http://schemas.openxmlformats.org/officeDocument/2006/relationships/hyperlink" Target="https://eshop-sk.boellhoff.com/out/media/pdf/DIN_929_Stahl___en.pdf" TargetMode="External" /><ns0:Relationship Id="rIdPurchaseLink6" Type="http://schemas.openxmlformats.org/officeDocument/2006/relationships/hyperlink" Target="https://www.orbitalfasteners.co.uk/products/m8-mild-steel-hexagon-we-ld-nut-self-colour" TargetMode="External" /><ns0:Relationship Id="rIdPurchaseLink7" Type="http://schemas.openxmlformats.org/officeDocument/2006/relationships/hyperlink" Target="https://global.sugatsune.com/cn/zh-cn/tech/products/21654_t?category=100218" TargetMode="External" /><ns0:Relationship Id="rIdPurchaseLink8" Type="http://schemas.openxmlformats.org/officeDocument/2006/relationships/hyperlink" Target="https://www.sugatsune.com/content/site-assets/501_PDF/HG-OT.pdf" TargetMode="External" /><ns0:Relationship Id="rIdPurchaseLink9" Type="http://schemas.openxmlformats.org/officeDocument/2006/relationships/hyperlink" Target="https://global.sugatsune.com/cn/zh-cn/tech/products/21654_t?category=100218" TargetMode="External" /><ns0:Relationship Id="rIdPurchaseLink10" Type="http://schemas.openxmlformats.org/officeDocument/2006/relationships/hyperlink" Target="https://www.hengzhu.com/cn/product/587/Locks/MS705" TargetMode="External" /><ns0:Relationship Id="rIdPurchaseLink11" Type="http://schemas.openxmlformats.org/officeDocument/2006/relationships/hyperlink" Target="https://www.hengzhu.com/upload/image/20250827/1756267038328022627.jpg" TargetMode="External" /><ns0:Relationship Id="rIdPurchaseLink12" Type="http://schemas.openxmlformats.org/officeDocument/2006/relationships/hyperlink" Target="https://www.hengzhu.com/cn/static/mall-shop" TargetMode="External" /><ns0:Relationship Id="rIdPurchaseLink13" Type="http://schemas.openxmlformats.org/officeDocument/2006/relationships/hyperlink" Target="https://www.lulian.cn/product/751-cn.html" TargetMode="External" /><ns0:Relationship Id="rIdPurchaseLink14" Type="http://schemas.openxmlformats.org/officeDocument/2006/relationships/hyperlink" Target="https://detail.tmall.com/item.htm?id=630347182725" TargetMode="External" /><ns0:Relationship Id="rIdPurchaseLink15" Type="http://schemas.openxmlformats.org/officeDocument/2006/relationships/hyperlink" Target="https://www.hafele.com/INTERSHOP/static/WFS/Haefele-HAC-Site/-/Haefele-HAC/en_US/opentext/assets/hac/Closet_Catalog_2022.pdf" TargetMode="External" /><ns0:Relationship Id="rIdPurchaseLink16" Type="http://schemas.openxmlformats.org/officeDocument/2006/relationships/hyperlink" Target="https://www.wurthmachinery.com/50mm-Cable-Grommet-with-Spring-Loaded-White.html" TargetMode="External" /><ns0:Relationship Id="rIdPurchaseLink17" Type="http://schemas.openxmlformats.org/officeDocument/2006/relationships/hyperlink" Target="https://www.soss.com/product/barrel-hinge/" TargetMode="External" /><ns0:Relationship Id="rIdPurchaseLink18" Type="http://schemas.openxmlformats.org/officeDocument/2006/relationships/hyperlink" Target="https://www.soss.com/wp-content/uploads/2015/04/SOSS_BH104R.pdf" TargetMode="External" /><ns0:Relationship Id="rIdPurchaseLink19" Type="http://schemas.openxmlformats.org/officeDocument/2006/relationships/hyperlink" Target="https://www.soss.com/product/barrel-hinge/" TargetMode="External" /><ns0:Relationship Id="rIdPurchaseLink20" Type="http://schemas.openxmlformats.org/officeDocument/2006/relationships/hyperlink" Target="https://www.nbk1560.com/en-US/products/specialscrew/nedzicom/socketheadcapscrew/SNS/" TargetMode="External" /><ns0:Relationship Id="rIdPurchaseLink21" Type="http://schemas.openxmlformats.org/officeDocument/2006/relationships/hyperlink" Target="https://www.f-e-s.co.uk/m6-x-12-socket-cap-screws-grade-12-9-zinc-plated-din-912.html" TargetMode="External" /><ns0:Relationship Id="rIdPurchaseLink22" Type="http://schemas.openxmlformats.org/officeDocument/2006/relationships/hyperlink" Target="https://www.rampa.com/eu/en/rampa-inserts-type-skd30/439612001010" TargetMode="External" /><ns0:Relationship Id="rIdPurchaseLink23" Type="http://schemas.openxmlformats.org/officeDocument/2006/relationships/hyperlink" Target="https://www.rampa.com/na/en/rampadownloads/092e80313dbe48e18b4c28e5343939fe" TargetMode="External" /><ns0:Relationship Id="rIdPurchaseLink24" Type="http://schemas.openxmlformats.org/officeDocument/2006/relationships/hyperlink" Target="https://www.rampa.com/eu/en/rampa-inserts-type-skd30/439612001010" TargetMode="External" /><ns0:Relationship Id="rIdPurchaseLink25" Type="http://schemas.openxmlformats.org/officeDocument/2006/relationships/hyperlink" Target="https://www.mofakult.fr/en/washer-m6-6-4-12-1-6-galvanized-29733" TargetMode="External" /><ns0:Relationship Id="rIdPurchaseLink26" Type="http://schemas.openxmlformats.org/officeDocument/2006/relationships/hyperlink" Target="https://www.vital-parts.co.uk/phillips-pan-head-machine-screws-din-7985h/17017-pph7985h-m3-8-a2" TargetMode="External" /><ns0:Relationship Id="rIdPurchaseLink27" Type="http://schemas.openxmlformats.org/officeDocument/2006/relationships/hyperlink" Target="https://www.nbk1560.com/en-US/products/specialscrew/nedzicom/captivescrew/SSC/SSC-M5/SSC-M5-8/" TargetMode="External" /><ns0:Relationship Id="rIdPurchaseLink28" Type="http://schemas.openxmlformats.org/officeDocument/2006/relationships/hyperlink" Target="https://www.nbk1560.com/images/en/product/captivescrew/SSC/SSC_1.pdf" TargetMode="External" /><ns0:Relationship Id="rIdPurchaseLink29" Type="http://schemas.openxmlformats.org/officeDocument/2006/relationships/hyperlink" Target="https://www.nbk1560-chn.com.cn/products/specialscrew/nedzicom/captivescrew/SSC/" TargetMode="External" /><ns0:Relationship Id="rIdPurchaseLink30" Type="http://schemas.openxmlformats.org/officeDocument/2006/relationships/hyperlink" Target="https://www.sugatsune.com/content/site-assets/201B_PDF/CHC-S.pdf" TargetMode="External" /><ns0:Relationship Id="rIdPurchaseLink31" Type="http://schemas.openxmlformats.org/officeDocument/2006/relationships/hyperlink" Target="https://www.sugatsune.com/content/site-assets/201B_PDF/CHC-S.pdf" TargetMode="External" /><ns0:Relationship Id="rIdPurchaseLink32" Type="http://schemas.openxmlformats.org/officeDocument/2006/relationships/hyperlink" Target="https://www.sugatsune.com/split-cable-grommet-chc-s18bl/" TargetMode="External" /><ns0:Relationship Id="rIdPurchaseLink33" Type="http://schemas.openxmlformats.org/officeDocument/2006/relationships/hyperlink" Target="https://hafelethailand.com/wp-content/uploads/2025/12/13-Tooling-Screws-and-Consumables.pdf" TargetMode="External" /><ns0:Relationship Id="rIdPurchaseLink34" Type="http://schemas.openxmlformats.org/officeDocument/2006/relationships/hyperlink" Target="https://hafelethailand.com/wp-content/uploads/2025/12/13-Tooling-Screws-and-Consumables.pdf" TargetMode="External" /><ns0:Relationship Id="rIdPurchaseLink35" Type="http://schemas.openxmlformats.org/officeDocument/2006/relationships/hyperlink" Target="https://www.ungrund.store/OE-12mm-Abdeckkappe-fuer-Blindbohrung-tiefschwarz-VE-500/PID426816.1" TargetMode="External" /><ns0:Relationship Id="rIdPurchaseLink36" Type="http://schemas.openxmlformats.org/officeDocument/2006/relationships/hyperlink" Target="https://www.nufast.co.uk/uploads/DIN_929.pdf" TargetMode="External" /><ns0:Relationship Id="rIdPurchaseLink37" Type="http://schemas.openxmlformats.org/officeDocument/2006/relationships/hyperlink" Target="https://boltworld.co.uk/products/m5-hexagon-weld-nut-self-colour-din-929/" TargetMode="External" /><ns0:Relationship Id="rIdPurchaseLink38" Type="http://schemas.openxmlformats.org/officeDocument/2006/relationships/hyperlink" Target="https://www.misumi.com.cn/" TargetMode="External" /><ns0:Relationship Id="rIdPurchaseLink39" Type="http://schemas.openxmlformats.org/officeDocument/2006/relationships/hyperlink" Target="https://www.fixaball.co.uk/products/m6-socket-cap-screw-high-tensile-12-9-zinc-din-912" TargetMode="External" /><ns0:Relationship Id="rIdPurchaseLink40" Type="http://schemas.openxmlformats.org/officeDocument/2006/relationships/hyperlink" Target="https://www.nufast.co.uk/uploads/DIN_929.pdf" TargetMode="External" /><ns0:Relationship Id="rIdPurchaseLink41" Type="http://schemas.openxmlformats.org/officeDocument/2006/relationships/hyperlink" Target="https://www.orbitalfasteners.co.uk/products/m6-mild-steel-hexagon-we-ld-nut-self-colour" TargetMode="External" /><ns0:Relationship Id="rIdPurchaseLink42" Type="http://schemas.openxmlformats.org/officeDocument/2006/relationships/hyperlink" Target="https://www.misumi.com.cn/" TargetMode="External" /><ns0:Relationship Id="rIdPurchaseLink43" Type="http://schemas.openxmlformats.org/officeDocument/2006/relationships/hyperlink" Target="https://www.fastenersfixingsandtools.co.uk/products/soc-cap-for-zinc-m4x25odin-912-grd129-300mm-keyoo" TargetMode="External" /><ns0:Relationship Id="rIdPurchaseLink44" Type="http://schemas.openxmlformats.org/officeDocument/2006/relationships/hyperlink" Target="https://www.nufast.co.uk/uploads/DIN_929.pdf" TargetMode="External" /><ns0:Relationship Id="rIdPurchaseLink45" Type="http://schemas.openxmlformats.org/officeDocument/2006/relationships/hyperlink" Target="https://schrauben-expert.de/weld-groove-DIN-929-M4-Steel" TargetMode="External" /><ns0:Relationship Id="rIdPurchaseLink46" Type="http://schemas.openxmlformats.org/officeDocument/2006/relationships/hyperlink" Target="https://global.sugatsune.com/cn/zh-cn/arch/products/22735_a" TargetMode="External" /><ns0:Relationship Id="rIdPurchaseLink47" Type="http://schemas.openxmlformats.org/officeDocument/2006/relationships/hyperlink" Target="https://www.sugatsune.com/content/site-assets/201B_PDF/474.pdf" TargetMode="External" /><ns0:Relationship Id="rIdPurchaseLink48" Type="http://schemas.openxmlformats.org/officeDocument/2006/relationships/hyperlink" Target="https://global.sugatsune.com/cn/zh-cn/arch/products/22735_a" TargetMode="External" /><ns0:Relationship Id="rIdPurchaseLink49" Type="http://schemas.openxmlformats.org/officeDocument/2006/relationships/hyperlink" Target="https://www.misumi.com.cn/" TargetMode="External" /><ns0:Relationship Id="rIdPurchaseLink50" Type="http://schemas.openxmlformats.org/officeDocument/2006/relationships/hyperlink" Target="https://www.wovar.co.uk/chipboard-screws-galvanised-3x12mm/" TargetMode="External" /><ns0:Relationship Id="rIdPurchaseLink51" Type="http://schemas.openxmlformats.org/officeDocument/2006/relationships/hyperlink" Target="https://www.fugendichtband24.de/EPDM-Vollgummimatte-2mm-Staerke-200mm-x-300mm-einseitig-selbstklebend-ca-65-Shore-A.htm" TargetMode="External" /><ns0:Relationship Id="rIdPurchaseLink52" Type="http://schemas.openxmlformats.org/officeDocument/2006/relationships/hyperlink" Target="https://www.fugendichtband24.de/EPDM-Vollgummimatte-2mm-Staerke-200mm-x-300mm-einseitig-selbstklebend-ca-65-Shore-A.htm" TargetMode="External" /><ns0:Relationship Id="rIdPurchaseLink53" Type="http://schemas.openxmlformats.org/officeDocument/2006/relationships/hyperlink" Target="https://uk.rs-online.com/web/p/door-seals/3269808" TargetMode="External" /><ns0:Relationship Id="rIdPurchaseLink54" Type="http://schemas.openxmlformats.org/officeDocument/2006/relationships/hyperlink" Target="https://docs.rs-online.com/635a/A700000015884303.pdf" TargetMode="External" /><ns0:Relationship Id="rIdPurchaseLink55" Type="http://schemas.openxmlformats.org/officeDocument/2006/relationships/hyperlink" Target="https://uk.rs-online.com/web/p/door-seals/3269808" TargetMode="External" /><ns0:Relationship Id="rIdPurchaseLink56" Type="http://schemas.openxmlformats.org/officeDocument/2006/relationships/hyperlink" Target="https://www.misumi.com.cn/" TargetMode="External" /><ns0:Relationship Id="rIdPurchaseLink57" Type="http://schemas.openxmlformats.org/officeDocument/2006/relationships/hyperlink" Target="https://www.ubuy.do/en/productde/JSV81LXF4-quarkzman-3-mm-x-8-mm-phillips-pan-head-self-tapping-screw-pack-of-100-304-stainless-steel-round-head-wood-screw-full-thread-black" TargetMode="External" /><ns0:Relationship Id="rIdPurchaseLink58" Type="http://schemas.openxmlformats.org/officeDocument/2006/relationships/hyperlink" Target="https://www.wkooa.com/product/6x12x1-shim-washers-stainless-steel-round-metric-din988-w29338" TargetMode="External" /><ns0:Relationship Id="rIdPurchaseLink59" Type="http://schemas.openxmlformats.org/officeDocument/2006/relationships/hyperlink" Target="https://www.wkooa.com/product/6x12x1-shim-washers-stainless-steel-round-metric-din988-w29338" TargetMode="External" /><ns0:Relationship Id="rIdPurchaseLink60" Type="http://schemas.openxmlformats.org/officeDocument/2006/relationships/hyperlink" Target="https://www.ganternorm.com/en/products/3.2-Mounting-Positioning-Leveling-with-Retaining-Cables-Screws-Clamping-and-Supporting-Elements/Retaining-cables/GN-111.2-Retaining-Cables-Stainless-Steel-with-Mounting-Tabs-or-Loops?artikelnr=111.2-150-C-BL" TargetMode="External" /><ns0:Relationship Id="rIdPurchaseLink61" Type="http://schemas.openxmlformats.org/officeDocument/2006/relationships/hyperlink" Target="https://www.elesa-ganter.com.cn/siteassets/PDF/ZH/GN%20111.2.pdf" TargetMode="External" /><ns0:Relationship Id="rIdPurchaseLink62" Type="http://schemas.openxmlformats.org/officeDocument/2006/relationships/hyperlink" Target="https://biotek.hu/termek/ele85413-gn-1112-150-c-bl?lang=en" TargetMode="External" /><ns0:Relationship Id="rIdPurchaseLink63" Type="http://schemas.openxmlformats.org/officeDocument/2006/relationships/hyperlink" Target="https://www.westfieldfasteners.co.uk/Standards/Washer-od3nom-M.pdf" TargetMode="External" /><ns0:Relationship Id="rIdPurchaseLink64" Type="http://schemas.openxmlformats.org/officeDocument/2006/relationships/hyperlink" Target="https://www.vital-parts.co.uk/phillips-pan-head-machine-screws-din-7985h/17031-pph7985h-m4-16-a2" TargetMode="External" /><ns0:Relationship Id="rIdPurchaseLink65" Type="http://schemas.openxmlformats.org/officeDocument/2006/relationships/hyperlink" Target="https://www.gongniu.cn/show-186-625-1.html" TargetMode="External" /><ns0:Relationship Id="rIdPurchaseLink66" Type="http://schemas.openxmlformats.org/officeDocument/2006/relationships/hyperlink" Target="https://www.gongniu.cn/show-24-814-1.html" TargetMode="External" /><ns0:Relationship Id="rIdPurchaseLink67" Type="http://schemas.openxmlformats.org/officeDocument/2006/relationships/hyperlink" Target="https://www.ehsy.com/product-CYV274" TargetMode="External" /><ns0:Relationship Id="rIdPurchaseLink68" Type="http://schemas.openxmlformats.org/officeDocument/2006/relationships/hyperlink" Target="https://www.hammfg.com/part/1557HA2GY" TargetMode="External" /><ns0:Relationship Id="rIdPurchaseLink69" Type="http://schemas.openxmlformats.org/officeDocument/2006/relationships/hyperlink" Target="https://www.hammfg.com/files/products/1557/wall-mount-foot-installipt.pdf?v=1697662067" TargetMode="External" /><ns0:Relationship Id="rIdPurchaseLink70" Type="http://schemas.openxmlformats.org/officeDocument/2006/relationships/hyperlink" Target="https://twen.rs-online.com/web/p/pcb-mounting-enclosures/1974346" TargetMode="External" /><ns0:Relationship Id="rIdPurchaseLink71" Type="http://schemas.openxmlformats.org/officeDocument/2006/relationships/hyperlink" Target="https://www.hammfg.com/part/1557HA2GY" TargetMode="External" /><ns0:Relationship Id="rIdPurchaseLink72" Type="http://schemas.openxmlformats.org/officeDocument/2006/relationships/hyperlink" Target="https://www.hammfg.com/part/1557HPL" TargetMode="External" /><ns0:Relationship Id="rIdPurchaseLink73" Type="http://schemas.openxmlformats.org/officeDocument/2006/relationships/hyperlink" Target="https://www.hammfg.com/files/parts/pdf/1557HPL.pdf" TargetMode="External" /><ns0:Relationship Id="rIdPurchaseLink74" Type="http://schemas.openxmlformats.org/officeDocument/2006/relationships/hyperlink" Target="https://www.gongniu.cn/show-213-967-1.html" TargetMode="External" /><ns0:Relationship Id="rIdPurchaseLink75" Type="http://schemas.openxmlformats.org/officeDocument/2006/relationships/hyperlink" Target="https://www.schurter.com/de/datasheet/6100-3" TargetMode="External" /><ns0:Relationship Id="rIdPurchaseLink76" Type="http://schemas.openxmlformats.org/officeDocument/2006/relationships/hyperlink" Target="https://www.schurter.com/en/pdf/english/typ_6100-3.pdf" TargetMode="External" /><ns0:Relationship Id="rIdPurchaseLink77" Type="http://schemas.openxmlformats.org/officeDocument/2006/relationships/hyperlink" Target="https://www.ibiger.com/Products/sxwwst.html" TargetMode="External" /><ns0:Relationship Id="rIdPurchaseLink78" Type="http://schemas.openxmlformats.org/officeDocument/2006/relationships/hyperlink" Target="https://item.jd.com/product/vUDomLiQGLyNsxPIm4fmTA.html" TargetMode="External" /><ns0:Relationship Id="rIdPurchaseLink79" Type="http://schemas.openxmlformats.org/officeDocument/2006/relationships/hyperlink" Target="https://www.wago.com/global/rail-mount-terminal-blocks/2-conductor-through-terminal-block/p/2002-1201" TargetMode="External" /><ns0:Relationship Id="rIdPurchaseLink80" Type="http://schemas.openxmlformats.org/officeDocument/2006/relationships/hyperlink" Target="https://www.wago.com/gb/rail-mount-terminal-blocks/2-conductor-through-terminal-block/p/2002-1204" TargetMode="External" /><ns0:Relationship Id="rIdPurchaseLink81" Type="http://schemas.openxmlformats.org/officeDocument/2006/relationships/hyperlink" Target="https://www.wago.com/de/reihenklemmen/2-leiter-schutzleiterklemme/p/2002-1207" TargetMode="External" /><ns0:Relationship Id="rIdPurchaseLink82" Type="http://schemas.openxmlformats.org/officeDocument/2006/relationships/hyperlink" Target="https://www.wago.com/gb/rail-mount-terminal-blocks/jumper/p/2002-406" TargetMode="External" /><ns0:Relationship Id="rIdPurchaseLink83" Type="http://schemas.openxmlformats.org/officeDocument/2006/relationships/hyperlink" Target="https://www.se.com/in/en/product/A9D32610/acti-9-idpn-n-vigi-rcbo-1p%2Bn-10a-c-curve-6000a-30ma-type-a/" TargetMode="External" /><ns0:Relationship Id="rIdPurchaseLink84" Type="http://schemas.openxmlformats.org/officeDocument/2006/relationships/hyperlink" Target="https://www.schurter.com/en/datasheet/RC320" TargetMode="External" /><ns0:Relationship Id="rIdPurchaseLink85" Type="http://schemas.openxmlformats.org/officeDocument/2006/relationships/hyperlink" Target="https://www.schurter.com/en/datasheet/typ_RC320.pdf" TargetMode="External" /><ns0:Relationship Id="rIdPurchaseLink86" Type="http://schemas.openxmlformats.org/officeDocument/2006/relationships/hyperlink" Target="https://eu.mouser.com/en/ProductDetail/Schurter/3-125-663?qs=7D1LtPJG0i0StJU2LYjKow%3D%3D" TargetMode="External" /><ns0:Relationship Id="rIdPurchaseLink87" Type="http://schemas.openxmlformats.org/officeDocument/2006/relationships/hyperlink" Target="https://www.te.com/en/product-735278.html" TargetMode="External" /><ns0:Relationship Id="rIdPurchaseLink88" Type="http://schemas.openxmlformats.org/officeDocument/2006/relationships/hyperlink" Target="https://www.te.com/commerce/DocumentDelivery/DDEController?Action=srchrtrv&amp;DocFormat=pdf&amp;DocLang=English&amp;DocNm=735278&amp;DocType=Customer+Drawing&amp;PartCntxt=735278" TargetMode="External" /><ns0:Relationship Id="rIdPurchaseLink89" Type="http://schemas.openxmlformats.org/officeDocument/2006/relationships/hyperlink" Target="https://www.digikey.com/en/products/detail/te-connectivity-amp-connectors/735278/2054388" TargetMode="External" /><ns0:Relationship Id="rIdPurchaseLink90" Type="http://schemas.openxmlformats.org/officeDocument/2006/relationships/hyperlink" Target="https://www.schurter.com/en/pdf/english/typ_6100-3.pdf" TargetMode="External" /><ns0:Relationship Id="rIdPurchaseLink91" Type="http://schemas.openxmlformats.org/officeDocument/2006/relationships/hyperlink" Target="https://www.jst-mfg.com/product/pdf/eng/eRING2.pdf" TargetMode="External" /><ns0:Relationship Id="rIdPurchaseLink92" Type="http://schemas.openxmlformats.org/officeDocument/2006/relationships/hyperlink" Target="https://cz.mouser.com/ProductDetail/JST-Commercial/FV2-4?qs=cIziFXvMxOUAUZffk7L1Xw%3D%3D" TargetMode="External" /><ns0:Relationship Id="rIdPurchaseLink93" Type="http://schemas.openxmlformats.org/officeDocument/2006/relationships/hyperlink" Target="https://www.jst-mfg.com/product/pdf/eng/eRING2.pdf" TargetMode="External" /><ns0:Relationship Id="rIdPurchaseLink94" Type="http://schemas.openxmlformats.org/officeDocument/2006/relationships/hyperlink" Target="https://www.wago.com/gb/accessories/screwless-end-stop/p/249-116" TargetMode="External" /><ns0:Relationship Id="rIdPurchaseLink95" Type="http://schemas.openxmlformats.org/officeDocument/2006/relationships/hyperlink" Target="https://www.wago.com/us/rail-chassis-terminal-blocks/topjobs-end-intermediate-plate/p/2002-1291" TargetMode="External" /><ns0:Relationship Id="rIdPurchaseLink96" Type="http://schemas.openxmlformats.org/officeDocument/2006/relationships/hyperlink" Target="https://www.wago.com/global/accessories/steel-carrier-rail/p/210-112" TargetMode="External" /><ns0:Relationship Id="rIdPurchaseLink97" Type="http://schemas.openxmlformats.org/officeDocument/2006/relationships/hyperlink" Target="https://www.jst-mfg.com/product/pdf/eng/eRING2.pdf" TargetMode="External" /><ns0:Relationship Id="rIdPurchaseLink98" Type="http://schemas.openxmlformats.org/officeDocument/2006/relationships/hyperlink" Target="https://www.vital-parts.co.uk/male-threaded-weld-studs-iso-13918-type-pt/29898-weld13918-m5-20-cop" TargetMode="External" /><ns0:Relationship Id="rIdPurchaseLink99" Type="http://schemas.openxmlformats.org/officeDocument/2006/relationships/hyperlink" Target="https://www.jst-mfg.com/product/pdf/eng/eRING2.pdf" TargetMode="External" /><ns0:Relationship Id="rIdPurchaseLink100" Type="http://schemas.openxmlformats.org/officeDocument/2006/relationships/hyperlink" Target="https://www.atslamberti.com/files/00364/weldingstudsa.t.srev.2of17042024.pdf" TargetMode="External" /><ns0:Relationship Id="rIdPurchaseLink101" Type="http://schemas.openxmlformats.org/officeDocument/2006/relationships/hyperlink" Target="https://www.phoenixcontact.com/en-us/products/ferrule-ai-25-10-bu-3202533" TargetMode="External" /><ns0:Relationship Id="rIdPurchaseLink102" Type="http://schemas.openxmlformats.org/officeDocument/2006/relationships/hyperlink" Target="https://eshop.wuerth.de/Zahnscheibe-aussengezahnt-Form-A-DIN-6797-Edelstahl-A2-SHB-ZA-DIN6797-A2-A-D53/04310215.sku/de/DE/EUR/" TargetMode="External" /><ns0:Relationship Id="rIdPurchaseLink103" Type="http://schemas.openxmlformats.org/officeDocument/2006/relationships/hyperlink" Target="https://eshop.wuerth.de/Hexagon-nut-low-profile-with-clamping-piece-non-metal-insert-DIN-985-A4-stainless-steel-plain-NUT-HEX-SLOK-DIN985-A4-WS8-M5/03975.sku/en/US/EUR/" TargetMode="External" /><ns0:Relationship Id="rIdPurchaseLink104" Type="http://schemas.openxmlformats.org/officeDocument/2006/relationships/hyperlink" Target="https://marketplacemedia.witglobal.net/source/marketplace/stmedia/wuerth/documents/documents/std.lang.all/642388974.pdf" TargetMode="External" /><ns0:Relationship Id="rIdPurchaseLink105" Type="http://schemas.openxmlformats.org/officeDocument/2006/relationships/hyperlink" Target="https://detail.tmall.com/item.htm?id=630347182725" TargetMode="External" /><ns0:Relationship Id="rIdPurchaseLink106" Type="http://schemas.openxmlformats.org/officeDocument/2006/relationships/hyperlink" Target="https://www.vital-parts.co.uk/phillips-pan-head-machine-screws-din-7985h/17017-pph7985h-m3-8-a2" TargetMode="External" /><ns0:Relationship Id="rIdPurchaseLink107" Type="http://schemas.openxmlformats.org/officeDocument/2006/relationships/hyperlink" Target="https://www.vital-parts.co.uk/stainless-steel-2xd-form-a-flat-washers-din-125a/28945-wa125-m3-a2" TargetMode="External" /><ns0:Relationship Id="rIdPurchaseLink108" Type="http://schemas.openxmlformats.org/officeDocument/2006/relationships/hyperlink" Target="https://a2stainless.co.uk/product/m3-nyloc-nut-din-985-a2/" TargetMode="External" /><ns0:Relationship Id="rIdPurchaseLink109" Type="http://schemas.openxmlformats.org/officeDocument/2006/relationships/hyperlink" Target="https://www.fixaball.co.uk/products/m6-socket-cap-screw-high-tensile-12-9-zinc-din-912" TargetMode="External" /><ns0:Relationship Id="rIdPurchaseLink110" Type="http://schemas.openxmlformats.org/officeDocument/2006/relationships/hyperlink" Target="https://www.mofakult.fr/en/washer-m6-6-4-12-1-6-galvanized-29733" TargetMode="External" /><ns0:Relationship Id="rIdPurchaseLink111" Type="http://schemas.openxmlformats.org/officeDocument/2006/relationships/hyperlink" Target="https://www.fastenersfixingsandtools.co.uk/products/soc-cap-for-zinc-m4x25odin-912-grd129-300mm-keyoo" TargetMode="External" /><ns0:Relationship Id="rIdPurchaseLink112" Type="http://schemas.openxmlformats.org/officeDocument/2006/relationships/hyperlink" Target="https://www.fastco.co.uk/m4-washer-form-a-zinc-plated-pack-of-100.html" TargetMode="External" /><ns0:Relationship Id="rIdPurchaseLink113" Type="http://schemas.openxmlformats.org/officeDocument/2006/relationships/hyperlink" Target="https://www.vital-parts.co.uk/phillips-pan-head-machine-screws-din-7985h/17031-pph7985h-m4-16-a2" TargetMode="External" /><ns0:Relationship Id="rIdPurchaseLink114" Type="http://schemas.openxmlformats.org/officeDocument/2006/relationships/hyperlink" Target="https://www.classicfasteners.com.au/m4-x-12-x-1-0-flat-washer-stainless-304-din9021-qty-200/" TargetMode="External" /><ns0:Relationship Id="rIdPurchaseLink115" Type="http://schemas.openxmlformats.org/officeDocument/2006/relationships/hyperlink" Target="https://www.orbitalfasteners.co.uk/products/m4-nyloc-nuts-stainless-steel-a2-304-din-985-type-t" TargetMode="External" /><ns0:Relationship Id="rIdPurchaseLink116" Type="http://schemas.openxmlformats.org/officeDocument/2006/relationships/hyperlink" Target="https://www.hammfg.com/part/1557HA2GY" TargetMode="External" /><ns0:Relationship Id="rIdPurchaseLink117" Type="http://schemas.openxmlformats.org/officeDocument/2006/relationships/hyperlink" Target="https://twen.rs-online.com/web/p/pcb-mounting-enclosures/1974346" TargetMode="External" /><ns0:Relationship Id="rIdPurchaseLink118" Type="http://schemas.openxmlformats.org/officeDocument/2006/relationships/hyperlink" Target="https://www.hammfg.com/part/1557HPL" TargetMode="External" /><ns0:Relationship Id="rIdPurchaseLink119" Type="http://schemas.openxmlformats.org/officeDocument/2006/relationships/hyperlink" Target="https://www.mouser.com/en/ProductDetail/Hammond-Manufacturing/1557HPL?qs=7D1LtPJG0i0ihGkjW47i8w%3D%3D" TargetMode="External" /><ns0:Relationship Id="rIdPurchaseLink120" Type="http://schemas.openxmlformats.org/officeDocument/2006/relationships/hyperlink" Target="https://www.wago.com/global/accessories/steel-carrier-rail/p/210-112" TargetMode="External" /><ns0:Relationship Id="rIdPurchaseLink121" Type="http://schemas.openxmlformats.org/officeDocument/2006/relationships/hyperlink" Target="https://www.wago.com/gb/accessories/screwless-end-stop/p/249-116" TargetMode="External" /><ns0:Relationship Id="rIdPurchaseLink122" Type="http://schemas.openxmlformats.org/officeDocument/2006/relationships/hyperlink" Target="https://www.wago.com/us/rail-chassis-terminal-blocks/topjobs-end-intermediate-plate/p/2002-1291" TargetMode="External" /><ns0:Relationship Id="rIdPurchaseLink123" Type="http://schemas.openxmlformats.org/officeDocument/2006/relationships/hyperlink" Target="https://www.jst-mfg.com/product/pdf/eng/eRING2.pdf" TargetMode="External" /><ns0:Relationship Id="rIdPurchaseLink124" Type="http://schemas.openxmlformats.org/officeDocument/2006/relationships/hyperlink" Target="https://www.jst-mfg.com/product/pdf/eng/eRING2.pdf" TargetMode="External" /><ns0:Relationship Id="rIdPurchaseLink125" Type="http://schemas.openxmlformats.org/officeDocument/2006/relationships/hyperlink" Target="https://cz.mouser.com/ProductDetail/JST-Commercial/FV2-4?qs=cIziFXvMxOUAUZffk7L1Xw%3D%3D" TargetMode="External" /><ns0:Relationship Id="rIdPurchaseLink126" Type="http://schemas.openxmlformats.org/officeDocument/2006/relationships/hyperlink" Target="https://www.phoenixcontact.com/en-us/products/ferrule-ai-25-10-bu-3202533" TargetMode="External" /><ns0:Relationship Id="rIdPurchaseLink127" Type="http://schemas.openxmlformats.org/officeDocument/2006/relationships/hyperlink" Target="https://www.atslamberti.com/files/00364/weldingstudsa.t.srev.2of17042024.pdf" TargetMode="External" /><ns0:Relationship Id="rIdPurchaseLink128" Type="http://schemas.openxmlformats.org/officeDocument/2006/relationships/hyperlink" Target="https://www.vital-parts.co.uk/male-threaded-weld-studs-iso-13918-type-pt/29898-weld13918-m5-20-cop" TargetMode="External" /><ns0:Relationship Id="rIdPurchaseLink129" Type="http://schemas.openxmlformats.org/officeDocument/2006/relationships/hyperlink" Target="https://eshop.wuerth.de/Zahnscheibe-aussengezahnt-Form-A-DIN-6797-Edelstahl-A2-SHB-ZA-DIN6797-A2-A-D53/04310215.sku/de/DE/EUR/" TargetMode="External" /><ns0:Relationship Id="rIdPurchaseLink130" Type="http://schemas.openxmlformats.org/officeDocument/2006/relationships/hyperlink" Target="https://marketplacemedia.witglobal.net/source/marketplace/stmedia/wuerth/documents/documents/std.lang.all/642388974.pdf" TargetMode="External" /><ns0:Relationship Id="rIdPurchaseLink131" Type="http://schemas.openxmlformats.org/officeDocument/2006/relationships/hyperlink" Target="https://eshop.wuerth.de/Hexagon-nut-low-profile-with-clamping-piece-non-metal-insert-DIN-985-A4-stainless-steel-plain-NUT-HEX-SLOK-DIN985-A4-WS8-M5/03975.sku/en/US/EUR/" TargetMode="External" /><ns0:Relationship Id="rIdPurchaseLink132" Type="http://schemas.openxmlformats.org/officeDocument/2006/relationships/hyperlink" Target="https://www.fugendichtband24.de/EPDM-Vollgummimatte-2mm-Staerke-200mm-x-300mm-einseitig-selbstklebend-ca-65-Shore-A.htm" TargetMode="External" /></ns0: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d717ea4bd74bb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3" hidden="0" customWidth="1"/>
    <x:col min="4" max="4" width="43" hidden="0" customWidth="1"/>
    <x:col min="5" max="5" width="15" hidden="0" customWidth="1"/>
    <x:col min="6" max="6" width="12" hidden="0" customWidth="1"/>
    <x:col min="7" max="7" width="9" hidden="0" customWidth="1"/>
    <x:col min="8" max="8" width="13" hidden="0" customWidth="1"/>
    <x:col min="9" max="9" width="12" hidden="0" customWidth="1"/>
    <x:col min="10" max="10" width="12" hidden="0" customWidth="1"/>
    <x:col min="11" max="11" width="19" hidden="0" customWidth="1"/>
    <x:col min="12" max="12" width="52" hidden="0" customWidth="1"/>
    <x:col min="13" max="13" width="65" hidden="0" customWidth="1"/>
    <x:col min="14" max="14" width="48" hidden="0" customWidth="1"/>
  </x:cols>
  <x:sheetData>
    <x:row r="1" ht="3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8" customHeight="1">
      <x:c r="A2" s="3" t="str">
        <x:v>五金与电气成品采购总表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38" customHeight="1">
      <x:c r="A3" s="2" t="str">
        <x:v>HW73005-L2000　R03　核对日期 2026-10-01　成型深化稿，未生产放行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8" customHeight="1">
      <x:c r="A4" s="2" t="str">
        <x:v>本批桌数</x:v>
      </x:c>
      <x:c r="B4" s="5" t="n">
        <x:v>1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8" customHeight="1">
      <x:c r="A5" s="6" t="str">
        <x:v>黄色格可改批量；空数量/空包装表示待核，不能当0。套内子件见“配套拆分”，可点击来源见“来源链接”。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2" customHeight="1">
      <x:c r="A7" s="10" t="str">
        <x:v>件号</x:v>
      </x:c>
      <x:c r="B7" s="10" t="str">
        <x:v>名称</x:v>
      </x:c>
      <x:c r="C7" s="10" t="str">
        <x:v>类别</x:v>
      </x:c>
      <x:c r="D7" s="10" t="str">
        <x:v>品牌 / 型号</x:v>
      </x:c>
      <x:c r="E7" s="10" t="str">
        <x:v>所属装配</x:v>
      </x:c>
      <x:c r="F7" s="10" t="str">
        <x:v>每桌用量</x:v>
      </x:c>
      <x:c r="G7" s="10" t="str">
        <x:v>单位</x:v>
      </x:c>
      <x:c r="H7" s="10" t="str">
        <x:v>本批用量</x:v>
      </x:c>
      <x:c r="I7" s="10" t="str">
        <x:v>图号</x:v>
      </x:c>
      <x:c r="J7" s="10" t="str">
        <x:v>包装量</x:v>
      </x:c>
      <x:c r="K7" s="10" t="str">
        <x:v>包装单位</x:v>
      </x:c>
      <x:c r="L7" s="10" t="str">
        <x:v>成品 / 已核规格</x:v>
      </x:c>
      <x:c r="M7" s="10" t="str">
        <x:v>安装及待核条件</x:v>
      </x:c>
      <x:c r="N7" s="10" t="str">
        <x:v>采购状态</x:v>
      </x:c>
    </x:row>
    <x:row r="8" ht="38" hidden="0" customHeight="1">
      <x:c r="A8" s="12" t="str">
        <x:v>H01</x:v>
      </x:c>
      <x:c r="B8" s="12" t="str">
        <x:v>薄型调节脚</x:v>
      </x:c>
      <x:c r="C8" s="12" t="str">
        <x:v>五金</x:v>
      </x:c>
      <x:c r="D8" s="12" t="str">
        <x:v>LAMP / Sugatsune；TG-20</x:v>
      </x:c>
      <x:c r="E8" s="12" t="str">
        <x:v>A07</x:v>
      </x:c>
      <x:c r="F8" s="12" t="n">
        <x:v>8</x:v>
      </x:c>
      <x:c r="G8" s="12" t="str">
        <x:v>只</x:v>
      </x:c>
      <x:c r="H8" s="12" t="n">
        <x:f>IF(ISBLANK(F8),"",F8*$B$4)</x:f>
        <x:v>8</x:v>
      </x:c>
      <x:c r="I8" s="12" t="str">
        <x:v>H02</x:v>
      </x:c>
      <x:c r="J8" s="12"/>
      <x:c r="K8" s="12" t="str"/>
      <x:c r="L8" s="12" t="str">
        <x:v>底φ20；M8×1.25；螺杆长15；底高6；总高21</x:v>
      </x:c>
      <x:c r="M8" s="12" t="str">
        <x:v>S03C内沉1，脚底名义外露5；每腿2只；调节后复核整桌900高及螺纹搭接；S03C脚孔局部u80/110、v13.9665，孔距30</x:v>
      </x:c>
      <x:c r="N8" s="12" t="str">
        <x:v>中国官方页有订购入口；库存未核</x:v>
      </x:c>
    </x:row>
    <x:row r="9" ht="38" hidden="0" customHeight="1">
      <x:c r="A9" s="11" t="str">
        <x:v>H02</x:v>
      </x:c>
      <x:c r="B9" s="11" t="str">
        <x:v>M8六角焊接螺母</x:v>
      </x:c>
      <x:c r="C9" s="11" t="str">
        <x:v>五金</x:v>
      </x:c>
      <x:c r="D9" s="11" t="str">
        <x:v>标准件；DIN 929 M8 钢本色</x:v>
      </x:c>
      <x:c r="E9" s="11" t="str">
        <x:v>S03C</x:v>
      </x:c>
      <x:c r="F9" s="11" t="n">
        <x:v>8</x:v>
      </x:c>
      <x:c r="G9" s="11" t="str">
        <x:v>只</x:v>
      </x:c>
      <x:c r="H9" s="11" t="n">
        <x:f>IF(ISBLANK(F9),"",F9*$B$4)</x:f>
        <x:v>8</x:v>
      </x:c>
      <x:c r="I9" s="11" t="str">
        <x:v>H02</x:v>
      </x:c>
      <x:c r="J9" s="11" t="n">
        <x:v>1</x:v>
      </x:c>
      <x:c r="K9" s="11" t="str">
        <x:v>只</x:v>
      </x:c>
      <x:c r="L9" s="11" t="str">
        <x:v>M8×1.25；对边14；螺母厚6.5；定位凸台径10.45最大</x:v>
      </x:c>
      <x:c r="M9" s="11" t="str">
        <x:v>S03C定位孔φ10.5 H11；不能沿用原φ8.5；焊后通规检查</x:v>
      </x:c>
      <x:c r="N9" s="11" t="str">
        <x:v>准确规格商品/可选规格页可网购；中国配送及实时库存未核</x:v>
      </x:c>
    </x:row>
    <x:row r="10" ht="38" hidden="0" customHeight="1">
      <x:c r="A10" s="12" t="str">
        <x:v>H03</x:v>
      </x:c>
      <x:c r="B10" s="12" t="str">
        <x:v>检修门可脱卸合页</x:v>
      </x:c>
      <x:c r="C10" s="12" t="str">
        <x:v>五金</x:v>
      </x:c>
      <x:c r="D10" s="12" t="str">
        <x:v>LAMP / Sugatsune；HG-OTA75 / 170-090-942</x:v>
      </x:c>
      <x:c r="E10" s="12" t="str">
        <x:v>S07</x:v>
      </x:c>
      <x:c r="F10" s="12" t="n">
        <x:v>4</x:v>
      </x:c>
      <x:c r="G10" s="12" t="str">
        <x:v>只</x:v>
      </x:c>
      <x:c r="H10" s="12" t="n">
        <x:f>IF(ISBLANK(F10),"",F10*$B$4)</x:f>
        <x:v>4</x:v>
      </x:c>
      <x:c r="I10" s="12" t="str">
        <x:v>H03</x:v>
      </x:c>
      <x:c r="J10" s="12"/>
      <x:c r="K10" s="12" t="str"/>
      <x:c r="L10" s="12" t="str">
        <x:v>展开50×75×T1.5；4×φ3.8；孔距38×63.5；轴径6；厚向包络9.5</x:v>
      </x:c>
      <x:c r="M10" s="12" t="str">
        <x:v>每门2只；孔中心相对铰链展开中心为(±19, ±31.75)；轴线方向沿75边；M3穿透连接</x:v>
      </x:c>
      <x:c r="N10" s="12" t="str">
        <x:v>中国官方页有订购入口；库存未核</x:v>
      </x:c>
    </x:row>
    <x:row r="11" ht="38" hidden="0" customHeight="1">
      <x:c r="A11" s="11" t="str">
        <x:v>H04</x:v>
      </x:c>
      <x:c r="B11" s="11" t="str">
        <x:v>直槽工具转舌锁（完整套件）</x:v>
      </x:c>
      <x:c r="C11" s="11" t="str">
        <x:v>五金</x:v>
      </x:c>
      <x:c r="D11" s="11" t="str">
        <x:v>益升华恒珠 Hengzhu；MS705-1-1</x:v>
      </x:c>
      <x:c r="E11" s="11" t="str">
        <x:v>S07</x:v>
      </x:c>
      <x:c r="F11" s="11" t="n">
        <x:v>2</x:v>
      </x:c>
      <x:c r="G11" s="11" t="str">
        <x:v>套</x:v>
      </x:c>
      <x:c r="H11" s="11" t="n">
        <x:f>IF(ISBLANK(F11),"",F11*$B$4)</x:f>
        <x:v>2</x:v>
      </x:c>
      <x:c r="I11" s="11" t="str">
        <x:v>H03</x:v>
      </x:c>
      <x:c r="J11" s="11"/>
      <x:c r="K11" s="11" t="str"/>
      <x:c r="L11" s="11" t="str">
        <x:v>面头φ28×4；开孔φ22.5与20.1方形交集；GH18；H19.5；锁舌35×20×T3（35为轴心至端）</x:v>
      </x:c>
      <x:c r="M11" s="11" t="str">
        <x:v>适门T1~5，含35长舌、螺母、止退件；锁头法兰贴门底Z782，末端接触面H19.5为Z801.5；S10E接收顶Z801.3留0.2，不能按近轴GH18定位接收面。锁舌扫掠留净。</x:v>
      </x:c>
      <x:c r="N11" s="11" t="str">
        <x:v>国内厂家官方商城入口；须按完整套件型号订购并核库存</x:v>
      </x:c>
    </x:row>
    <x:row r="12" ht="38" hidden="0" customHeight="1">
      <x:c r="A12" s="12" t="str">
        <x:v>H05</x:v>
      </x:c>
      <x:c r="B12" s="12" t="str">
        <x:v>排插滑拆固定器组</x:v>
      </x:c>
      <x:c r="C12" s="12" t="str">
        <x:v>五金</x:v>
      </x:c>
      <x:c r="D12" s="12" t="str">
        <x:v>UGREEN 绿联；LP332 / 每组2套</x:v>
      </x:c>
      <x:c r="E12" s="12" t="str">
        <x:v>S07</x:v>
      </x:c>
      <x:c r="F12" s="12" t="n">
        <x:v>2</x:v>
      </x:c>
      <x:c r="G12" s="12" t="str">
        <x:v>组</x:v>
      </x:c>
      <x:c r="H12" s="12" t="n">
        <x:f>IF(ISBLANK(F12),"",F12*$B$4)</x:f>
        <x:v>2</x:v>
      </x:c>
      <x:c r="I12" s="12" t="str">
        <x:v>H01</x:v>
      </x:c>
      <x:c r="J12" s="12"/>
      <x:c r="K12" s="12" t="str"/>
      <x:c r="L12" s="12" t="str">
        <x:v>每门2套滑拆固定器；包装尺寸99.5×45×9.2非工程外形</x:v>
      </x:c>
      <x:c r="M12" s="12" t="str">
        <x:v>GN-604背部与喷涂门内面平整清洁，按厂家胶粘并充分固化；每组2套同向滑轨；不钻排插壳。活动门倒置、抗滑脱和热老化未获厂家证明，须连同用户插头做启闭/抗拉首件验证。</x:v>
      </x:c>
      <x:c r="N12" s="12" t="str">
        <x:v>厂家直链天猫成品；活动门应用为待验证候选</x:v>
      </x:c>
    </x:row>
    <x:row r="13" ht="42" hidden="0" customHeight="1">
      <x:c r="A13" s="11" t="str">
        <x:v>H06</x:v>
      </x:c>
      <x:c r="B13" s="11" t="str">
        <x:v>承托盒白色穿线护口</x:v>
      </x:c>
      <x:c r="C13" s="11" t="str">
        <x:v>五金</x:v>
      </x:c>
      <x:c r="D13" s="11" t="str">
        <x:v>Häfele；429.99.735</x:v>
      </x:c>
      <x:c r="E13" s="11" t="str">
        <x:v>W03A</x:v>
      </x:c>
      <x:c r="F13" s="11" t="n">
        <x:v>2</x:v>
      </x:c>
      <x:c r="G13" s="11" t="str">
        <x:v>只</x:v>
      </x:c>
      <x:c r="H13" s="11" t="n">
        <x:f>IF(ISBLANK(F13),"",F13*$B$4)</x:f>
        <x:v>2</x:v>
      </x:c>
      <x:c r="I13" s="11" t="str">
        <x:v>H01</x:v>
      </x:c>
      <x:c r="J13" s="11" t="n">
        <x:v>1</x:v>
      </x:c>
      <x:c r="K13" s="11" t="str"/>
      <x:c r="L13" s="11" t="str">
        <x:v>φ50安装孔；两件式；经销规格入孔深22</x:v>
      </x:c>
      <x:c r="M13" s="11" t="str">
        <x:v>W03A长侧T15板φ50孔；局部u165/v51，全局(600/1400,492.5,842)，孔朝近侧-Y。筒向盒内突出约7；保持周围净空，按厂家允许压装或胶粘。可取盖穿原装插头，再恢复护口；开口及插头穿越须首件核实。</x:v>
      </x:c>
      <x:c r="N13" s="11" t="str">
        <x:v>可网购具体型号；到货φ50孔配装及入孔深待复核</x:v>
      </x:c>
    </x:row>
    <x:row r="14" ht="38" hidden="0" customHeight="1">
      <x:c r="A14" s="12" t="str">
        <x:v>H07</x:v>
      </x:c>
      <x:c r="B14" s="12" t="str">
        <x:v>小翻盖隐藏桶式铰链</x:v>
      </x:c>
      <x:c r="C14" s="12" t="str">
        <x:v>五金</x:v>
      </x:c>
      <x:c r="D14" s="12" t="str">
        <x:v>SOSS；BH104</x:v>
      </x:c>
      <x:c r="E14" s="12" t="str">
        <x:v>A03</x:v>
      </x:c>
      <x:c r="F14" s="12" t="n">
        <x:v>8</x:v>
      </x:c>
      <x:c r="G14" s="12" t="str">
        <x:v>只</x:v>
      </x:c>
      <x:c r="H14" s="12" t="n">
        <x:f>IF(ISBLANK(F14),"",F14*$B$4)</x:f>
        <x:v>8</x:v>
      </x:c>
      <x:c r="I14" s="12" t="str">
        <x:v>H03</x:v>
      </x:c>
      <x:c r="J14" s="12"/>
      <x:c r="K14" s="12" t="str"/>
      <x:c r="L14" s="12" t="str">
        <x:v>桶径10；盲孔φ10深11.5；孔心距朝开口边6.8；D≥2；E≤1.8；最小板厚12.7；开启180°</x:v>
      </x:c>
      <x:c r="M14" s="12" t="str">
        <x:v>T18盖及桌面均从顶面钻φ10深11.5；剩板厚6.5。每盖u50/248、孔心距外侧开合边6.8；180°展开对应桌面闭合共面，操作抬90°。</x:v>
      </x:c>
      <x:c r="N14" s="12" t="str">
        <x:v>厂家官网可加入购物车；中国现货和进口交期未核</x:v>
      </x:c>
    </x:row>
    <x:row r="15" ht="38" hidden="0" customHeight="1">
      <x:c r="A15" s="11" t="str">
        <x:v>H09</x:v>
      </x:c>
      <x:c r="B15" s="11" t="str">
        <x:v>桌面M6机螺钉</x:v>
      </x:c>
      <x:c r="C15" s="11" t="str">
        <x:v>五金</x:v>
      </x:c>
      <x:c r="D15" s="11" t="str">
        <x:v>标准件；ISO 4762 / DIN 912 M6×12</x:v>
      </x:c>
      <x:c r="E15" s="11" t="str">
        <x:v>A03</x:v>
      </x:c>
      <x:c r="F15" s="11" t="n">
        <x:v>8</x:v>
      </x:c>
      <x:c r="G15" s="11" t="str">
        <x:v>只</x:v>
      </x:c>
      <x:c r="H15" s="11" t="n">
        <x:f>IF(ISBLANK(F15),"",F15*$B$4)</x:f>
        <x:v>8</x:v>
      </x:c>
      <x:c r="I15" s="11" t="str">
        <x:v>H02</x:v>
      </x:c>
      <x:c r="J15" s="11" t="n">
        <x:v>1</x:v>
      </x:c>
      <x:c r="K15" s="11" t="str">
        <x:v>只</x:v>
      </x:c>
      <x:c r="L15" s="11" t="str">
        <x:v>M6×1；公称杆长12；配平垫6.4×12×1.6</x:v>
      </x:c>
      <x:c r="M15" s="11" t="str">
        <x:v>穿T3固定耳＋T1.6垫片，进入桌面嵌母7.4；由桌下拆装；成对点X580/850/1150/1420×Y328/872</x:v>
      </x:c>
      <x:c r="N15" s="11" t="str">
        <x:v>准确规格商品/可选规格页可网购；中国配送及实时库存未核</x:v>
      </x:c>
    </x:row>
    <x:row r="16" ht="38" hidden="0" customHeight="1">
      <x:c r="A16" s="12" t="str">
        <x:v>H10</x:v>
      </x:c>
      <x:c r="B16" s="12" t="str">
        <x:v>桌面M6木用嵌入螺母</x:v>
      </x:c>
      <x:c r="C16" s="12" t="str">
        <x:v>五金</x:v>
      </x:c>
      <x:c r="D16" s="12" t="str">
        <x:v>RAMPA；SKD30 439612001</x:v>
      </x:c>
      <x:c r="E16" s="12" t="str">
        <x:v>W01</x:v>
      </x:c>
      <x:c r="F16" s="12" t="n">
        <x:v>8</x:v>
      </x:c>
      <x:c r="G16" s="12" t="str">
        <x:v>只</x:v>
      </x:c>
      <x:c r="H16" s="12" t="n">
        <x:f>IF(ISBLANK(F16),"",F16*$B$4)</x:f>
        <x:v>8</x:v>
      </x:c>
      <x:c r="I16" s="12" t="str">
        <x:v>H02</x:v>
      </x:c>
      <x:c r="J16" s="12"/>
      <x:c r="K16" s="12" t="str"/>
      <x:c r="L16" s="12" t="str">
        <x:v>外径12；L12；内牙M6；内六角SW6；厂家底孔10.0~10.5</x:v>
      </x:c>
      <x:c r="M16" s="12" t="str">
        <x:v>从桌面底安装；试样底孔φ10.5深14、面层最小保留4；嵌件法兰与底面齐，深度限位钻孔</x:v>
      </x:c>
      <x:c r="N16" s="12" t="str">
        <x:v>厂家官网可在线订购；中国现货和进口交期未核</x:v>
      </x:c>
    </x:row>
    <x:row r="17" ht="38" hidden="0" customHeight="1">
      <x:c r="A17" s="11" t="str">
        <x:v>H11</x:v>
      </x:c>
      <x:c r="B17" s="11" t="str">
        <x:v>M6平垫圈</x:v>
      </x:c>
      <x:c r="C17" s="11" t="str">
        <x:v>五金</x:v>
      </x:c>
      <x:c r="D17" s="11" t="str">
        <x:v>标准件；ISO 7089 / DIN 125-A 6</x:v>
      </x:c>
      <x:c r="E17" s="11" t="str">
        <x:v>A03</x:v>
      </x:c>
      <x:c r="F17" s="11" t="n">
        <x:v>8</x:v>
      </x:c>
      <x:c r="G17" s="11" t="str">
        <x:v>只</x:v>
      </x:c>
      <x:c r="H17" s="11" t="n">
        <x:f>IF(ISBLANK(F17),"",F17*$B$4)</x:f>
        <x:v>8</x:v>
      </x:c>
      <x:c r="I17" s="11" t="str">
        <x:v>H02</x:v>
      </x:c>
      <x:c r="J17" s="11" t="n">
        <x:v>1</x:v>
      </x:c>
      <x:c r="K17" s="11" t="str">
        <x:v>只</x:v>
      </x:c>
      <x:c r="L17" s="11" t="str">
        <x:v>φ6.4×φ12×T1.6</x:v>
      </x:c>
      <x:c r="M17" s="11" t="str">
        <x:v>与8只M6×12配套；覆盖6.6×12长圆调节孔</x:v>
      </x:c>
      <x:c r="N17" s="11" t="str">
        <x:v>准确规格商品/可选规格页可网购；中国配送及实时库存未核</x:v>
      </x:c>
    </x:row>
    <x:row r="18" ht="38" hidden="0" customHeight="1">
      <x:c r="A18" s="12" t="str">
        <x:v>H12</x:v>
      </x:c>
      <x:c r="B18" s="12" t="str">
        <x:v>检修门合页螺钉配套</x:v>
      </x:c>
      <x:c r="C18" s="12" t="str">
        <x:v>五金</x:v>
      </x:c>
      <x:c r="D18" s="12" t="str">
        <x:v>标准件；M3×8盘头＋M3防松螺母＋M3平垫</x:v>
      </x:c>
      <x:c r="E18" s="12" t="str">
        <x:v>S07</x:v>
      </x:c>
      <x:c r="F18" s="12" t="n">
        <x:v>16</x:v>
      </x:c>
      <x:c r="G18" s="12" t="str">
        <x:v>套</x:v>
      </x:c>
      <x:c r="H18" s="12" t="n">
        <x:f>IF(ISBLANK(F18),"",F18*$B$4)</x:f>
        <x:v>16</x:v>
      </x:c>
      <x:c r="I18" s="12" t="str">
        <x:v>H03</x:v>
      </x:c>
      <x:c r="J18" s="12"/>
      <x:c r="K18" s="12" t="str"/>
      <x:c r="L18" s="12" t="str">
        <x:v>M3×0.5×8；每合页4套</x:v>
      </x:c>
      <x:c r="M18" s="12" t="str">
        <x:v>穿φ3.8合页孔与门/底盘配孔；每套1螺钉1平垫1防松螺母；组装后验轴芯可操作</x:v>
      </x:c>
      <x:c r="N18" s="12" t="str">
        <x:v>准确规格商品/可选规格页可网购；中国配送及实时库存未核</x:v>
      </x:c>
    </x:row>
    <x:row r="19" ht="38" hidden="0" customHeight="1">
      <x:c r="A19" s="11" t="str">
        <x:v>H13</x:v>
      </x:c>
      <x:c r="B19" s="11" t="str">
        <x:v>检修盖及吊板防脱螺钉</x:v>
      </x:c>
      <x:c r="C19" s="11" t="str">
        <x:v>五金</x:v>
      </x:c>
      <x:c r="D19" s="11" t="str">
        <x:v>NBK；SSC-M5-8</x:v>
      </x:c>
      <x:c r="E19" s="11" t="str">
        <x:v>A04</x:v>
      </x:c>
      <x:c r="F19" s="11" t="n">
        <x:v>8</x:v>
      </x:c>
      <x:c r="G19" s="11" t="str">
        <x:v>只</x:v>
      </x:c>
      <x:c r="H19" s="11" t="n">
        <x:f>IF(ISBLANK(F19),"",F19*$B$4)</x:f>
        <x:v>8</x:v>
      </x:c>
      <x:c r="I19" s="11" t="str">
        <x:v>H02</x:v>
      </x:c>
      <x:c r="J19" s="11"/>
      <x:c r="K19" s="11" t="str"/>
      <x:c r="L19" s="11" t="str">
        <x:v>M5×0.8；杆长8；末端牙长4；颈径3.9；头φ8.5×5；内六角4</x:v>
      </x:c>
      <x:c r="M19" s="11" t="str">
        <x:v>中央盖4：T1.5攻M5防脱＋T1底盘＋T2补强＋DIN929 M5，夹紧栈4.5，啮合3.5。吊板4：T2攻M5防脱＋T3臂＋DIN929 M5，夹紧栈5，啮合3。</x:v>
      </x:c>
      <x:c r="N19" s="11" t="str">
        <x:v>NBK中国官方询价/官方1688渠道；库存未核</x:v>
      </x:c>
    </x:row>
    <x:row r="20" ht="38" hidden="0" customHeight="1">
      <x:c r="A20" s="12" t="str">
        <x:v>H25</x:v>
      </x:c>
      <x:c r="B20" s="12" t="str">
        <x:v>成品过线衬套</x:v>
      </x:c>
      <x:c r="C20" s="12" t="str">
        <x:v>五金</x:v>
      </x:c>
      <x:c r="D20" s="12" t="str">
        <x:v>LAMP / Sugatsune；CHC-S18BL</x:v>
      </x:c>
      <x:c r="E20" s="12" t="str">
        <x:v>A06</x:v>
      </x:c>
      <x:c r="F20" s="12" t="n">
        <x:v>20</x:v>
      </x:c>
      <x:c r="G20" s="12" t="str">
        <x:v>只</x:v>
      </x:c>
      <x:c r="H20" s="12" t="n">
        <x:f>IF(ISBLANK(F20),"",F20*$B$4)</x:f>
        <x:v>20</x:v>
      </x:c>
      <x:c r="I20" s="12" t="str">
        <x:v>A06</x:v>
      </x:c>
      <x:c r="J20" s="12" t="n">
        <x:v>1</x:v>
      </x:c>
      <x:c r="K20" s="12" t="str">
        <x:v>只</x:v>
      </x:c>
      <x:c r="L20" s="12" t="str">
        <x:v>外缘φ18；嵌入φ14；内孔φ12；总高18；法兰高2</x:v>
      </x:c>
      <x:c r="M20" s="12" t="str">
        <x:v>W01孔φ14+0.5/0；按桌面/设备过线设计装20只；衬套面高出桌面2</x:v>
      </x:c>
      <x:c r="N20" s="12" t="str">
        <x:v>厂家美国官网可按只加购物车；中国配送和库存未核</x:v>
      </x:c>
    </x:row>
    <x:row r="21" ht="38" hidden="0" customHeight="1">
      <x:c r="A21" s="11" t="str">
        <x:v>H26</x:v>
      </x:c>
      <x:c r="B21" s="11" t="str">
        <x:v>闲置孔成品盖</x:v>
      </x:c>
      <x:c r="C21" s="11" t="str">
        <x:v>五金</x:v>
      </x:c>
      <x:c r="D21" s="11" t="str">
        <x:v>Häfele；045.00.332</x:v>
      </x:c>
      <x:c r="E21" s="11" t="str">
        <x:v>A06</x:v>
      </x:c>
      <x:c r="F21" s="11" t="n">
        <x:v>10</x:v>
      </x:c>
      <x:c r="G21" s="11" t="str">
        <x:v>只</x:v>
      </x:c>
      <x:c r="H21" s="11" t="n">
        <x:f>IF(ISBLANK(F21),"",F21*$B$4)</x:f>
        <x:v>10</x:v>
      </x:c>
      <x:c r="I21" s="11" t="str">
        <x:v>A06</x:v>
      </x:c>
      <x:c r="J21" s="11" t="n">
        <x:v>500</x:v>
      </x:c>
      <x:c r="K21" s="11" t="str">
        <x:v>只</x:v>
      </x:c>
      <x:c r="L21" s="11" t="str">
        <x:v>适φ12孔；头φ18；H2；插杆8.4</x:v>
      </x:c>
      <x:c r="M21" s="11" t="str">
        <x:v>装入CHC-S18BL内φ12；组合总突出约4；首件实配通过前不得当认证配套</x:v>
      </x:c>
      <x:c r="N21" s="11" t="str">
        <x:v>国外经销商网购500只/包；单桌用10只，中国配送及实时库存未核</x:v>
      </x:c>
    </x:row>
    <x:row r="22" ht="38" hidden="0" customHeight="1">
      <x:c r="A22" s="12" t="str">
        <x:v>H14</x:v>
      </x:c>
      <x:c r="B22" s="12" t="str">
        <x:v>检修盖及吊板M5焊接螺母</x:v>
      </x:c>
      <x:c r="C22" s="12" t="str">
        <x:v>五金</x:v>
      </x:c>
      <x:c r="D22" s="12" t="str">
        <x:v>标准件；DIN929 M5 钢本色</x:v>
      </x:c>
      <x:c r="E22" s="12" t="str">
        <x:v>A04</x:v>
      </x:c>
      <x:c r="F22" s="12" t="n">
        <x:v>8</x:v>
      </x:c>
      <x:c r="G22" s="12" t="str">
        <x:v>只</x:v>
      </x:c>
      <x:c r="H22" s="12" t="n">
        <x:f>IF(ISBLANK(F22),"",F22*$B$4)</x:f>
        <x:v>8</x:v>
      </x:c>
      <x:c r="I22" s="12" t="str">
        <x:v>H02</x:v>
      </x:c>
      <x:c r="J22" s="12" t="n">
        <x:v>1</x:v>
      </x:c>
      <x:c r="K22" s="12" t="str">
        <x:v>只</x:v>
      </x:c>
      <x:c r="L22" s="12" t="str">
        <x:v>M5×0.8；对边10；厚4；定位凸台6.96最大</x:v>
      </x:c>
      <x:c r="M22" s="12" t="str">
        <x:v>盖T2补强片或吊板T3臂均φ7 H11定位后焊；盖4、板4；对应SSC-M5-8。</x:v>
      </x:c>
      <x:c r="N22" s="12" t="str">
        <x:v>准确规格商品/可选规格页可网购；中国配送及实时库存未核</x:v>
      </x:c>
    </x:row>
    <x:row r="23" ht="38" hidden="0" customHeight="1">
      <x:c r="A23" s="11" t="str">
        <x:v>H15</x:v>
      </x:c>
      <x:c r="B23" s="11" t="str">
        <x:v>横梁M6连接螺钉配套</x:v>
      </x:c>
      <x:c r="C23" s="11" t="str">
        <x:v>五金</x:v>
      </x:c>
      <x:c r="D23" s="11" t="str">
        <x:v>标准件；ISO4762 M6×20＋ISO7089平垫6</x:v>
      </x:c>
      <x:c r="E23" s="11" t="str">
        <x:v>S09A</x:v>
      </x:c>
      <x:c r="F23" s="11" t="n">
        <x:v>16</x:v>
      </x:c>
      <x:c r="G23" s="11" t="str">
        <x:v>套</x:v>
      </x:c>
      <x:c r="H23" s="11" t="n">
        <x:f>IF(ISBLANK(F23),"",F23*$B$4)</x:f>
        <x:v>16</x:v>
      </x:c>
      <x:c r="I23" s="11" t="str">
        <x:v>H02</x:v>
      </x:c>
      <x:c r="J23" s="11"/>
      <x:c r="K23" s="11" t="str"/>
      <x:c r="L23" s="11" t="str">
        <x:v>M6×20；头下垫6.4×12×T1.6；每套各1</x:v>
      </x:c>
      <x:c r="M23" s="11" t="str">
        <x:v>C筋T2＋每螺栓4mm调整片＋S09A T3端板＋DIN929M6；每端2点，共16套。</x:v>
      </x:c>
      <x:c r="N23" s="11" t="str">
        <x:v>准确规格商品/可选规格页可网购；中国配送及实时库存未核</x:v>
      </x:c>
    </x:row>
    <x:row r="24" ht="38" hidden="0" customHeight="1">
      <x:c r="A24" s="12" t="str">
        <x:v>H16</x:v>
      </x:c>
      <x:c r="B24" s="12" t="str">
        <x:v>横梁M6焊接螺母</x:v>
      </x:c>
      <x:c r="C24" s="12" t="str">
        <x:v>五金</x:v>
      </x:c>
      <x:c r="D24" s="12" t="str">
        <x:v>标准件；DIN929 M6 钢本色</x:v>
      </x:c>
      <x:c r="E24" s="12" t="str">
        <x:v>S09A</x:v>
      </x:c>
      <x:c r="F24" s="12" t="n">
        <x:v>16</x:v>
      </x:c>
      <x:c r="G24" s="12" t="str">
        <x:v>只</x:v>
      </x:c>
      <x:c r="H24" s="12" t="n">
        <x:f>IF(ISBLANK(F24),"",F24*$B$4)</x:f>
        <x:v>16</x:v>
      </x:c>
      <x:c r="I24" s="12" t="str">
        <x:v>H02</x:v>
      </x:c>
      <x:c r="J24" s="12" t="n">
        <x:v>100</x:v>
      </x:c>
      <x:c r="K24" s="12" t="str">
        <x:v>只</x:v>
      </x:c>
      <x:c r="L24" s="12" t="str">
        <x:v>M6×1；对边11；厚5；定位凸台7.96最大</x:v>
      </x:c>
      <x:c r="M24" s="12" t="str">
        <x:v>S09A T3端板φ8 H11；焊母朝管腔；孔心(30,18)/(30,42)</x:v>
      </x:c>
      <x:c r="N24" s="12" t="str">
        <x:v>准确规格商品/可选规格页可网购；中国配送及实时库存未核</x:v>
      </x:c>
    </x:row>
    <x:row r="25" ht="38" hidden="0" customHeight="1">
      <x:c r="A25" s="11" t="str">
        <x:v>H17</x:v>
      </x:c>
      <x:c r="B25" s="11" t="str">
        <x:v>承托盒M4连接螺钉配套</x:v>
      </x:c>
      <x:c r="C25" s="11" t="str">
        <x:v>五金</x:v>
      </x:c>
      <x:c r="D25" s="11" t="str">
        <x:v>标准件；M4×25＋M4平垫</x:v>
      </x:c>
      <x:c r="E25" s="11" t="str">
        <x:v>S09C</x:v>
      </x:c>
      <x:c r="F25" s="11" t="n">
        <x:v>8</x:v>
      </x:c>
      <x:c r="G25" s="11" t="str">
        <x:v>套</x:v>
      </x:c>
      <x:c r="H25" s="11" t="n">
        <x:f>IF(ISBLANK(F25),"",F25*$B$4)</x:f>
        <x:v>8</x:v>
      </x:c>
      <x:c r="I25" s="11" t="str">
        <x:v>H02</x:v>
      </x:c>
      <x:c r="J25" s="11"/>
      <x:c r="K25" s="11" t="str"/>
      <x:c r="L25" s="11" t="str">
        <x:v>M4×25；每套1螺钉1平垫</x:v>
      </x:c>
      <x:c r="M25" s="11" t="str">
        <x:v>轴水平X；穿木板φ4.5后入抱角焊母</x:v>
      </x:c>
      <x:c r="N25" s="11" t="str">
        <x:v>准确规格商品/可选规格页可网购；中国配送及实时库存未核</x:v>
      </x:c>
    </x:row>
    <x:row r="26" ht="38" hidden="0" customHeight="1">
      <x:c r="A26" s="12" t="str">
        <x:v>H18</x:v>
      </x:c>
      <x:c r="B26" s="12" t="str">
        <x:v>承托盒M4焊接螺母</x:v>
      </x:c>
      <x:c r="C26" s="12" t="str">
        <x:v>五金</x:v>
      </x:c>
      <x:c r="D26" s="12" t="str">
        <x:v>标准件；DIN929 M4 钢本色</x:v>
      </x:c>
      <x:c r="E26" s="12" t="str">
        <x:v>S09C</x:v>
      </x:c>
      <x:c r="F26" s="12" t="n">
        <x:v>8</x:v>
      </x:c>
      <x:c r="G26" s="12" t="str">
        <x:v>只</x:v>
      </x:c>
      <x:c r="H26" s="12" t="n">
        <x:f>IF(ISBLANK(F26),"",F26*$B$4)</x:f>
        <x:v>8</x:v>
      </x:c>
      <x:c r="I26" s="12" t="str">
        <x:v>H02</x:v>
      </x:c>
      <x:c r="J26" s="12" t="n">
        <x:v>1</x:v>
      </x:c>
      <x:c r="K26" s="12" t="str">
        <x:v>只</x:v>
      </x:c>
      <x:c r="L26" s="12" t="str">
        <x:v>M4×0.7；对边9；厚3.5；定位凸台5.97最大</x:v>
      </x:c>
      <x:c r="M26" s="12" t="str">
        <x:v>T2抱角φ6 H11定位焊；与M4×25配套</x:v>
      </x:c>
      <x:c r="N26" s="12" t="str">
        <x:v>准确规格商品/可选规格页可网购；中国配送及实时库存未核</x:v>
      </x:c>
    </x:row>
    <x:row r="27" ht="38" hidden="0" customHeight="1">
      <x:c r="A27" s="11" t="str">
        <x:v>H19</x:v>
      </x:c>
      <x:c r="B27" s="11" t="str">
        <x:v>翻盖独立承托角码</x:v>
      </x:c>
      <x:c r="C27" s="11" t="str">
        <x:v>五金</x:v>
      </x:c>
      <x:c r="D27" s="11" t="str">
        <x:v>LAMP / Sugatsune；SU-30S / 120-030-070</x:v>
      </x:c>
      <x:c r="E27" s="11" t="str">
        <x:v>A03</x:v>
      </x:c>
      <x:c r="F27" s="11" t="n">
        <x:v>8</x:v>
      </x:c>
      <x:c r="G27" s="11" t="str">
        <x:v>只</x:v>
      </x:c>
      <x:c r="H27" s="11" t="n">
        <x:f>IF(ISBLANK(F27),"",F27*$B$4)</x:f>
        <x:v>8</x:v>
      </x:c>
      <x:c r="I27" s="11" t="str">
        <x:v>H03</x:v>
      </x:c>
      <x:c r="J27" s="11"/>
      <x:c r="K27" s="11" t="str"/>
      <x:c r="L27" s="11" t="str">
        <x:v>30×30×宽12×T2.5；4×φ3.5沉φ6.5；两面孔距直角基准11/24</x:v>
      </x:c>
      <x:c r="M27" s="11" t="str">
        <x:v>每盖两短端各1只；角码钢顶Z882−实测含胶软垫厚（名义879.77）；X450..480/720..750及+800；Y中心552/648</x:v>
      </x:c>
      <x:c r="N27" s="11" t="str">
        <x:v>成品或标准件可订购；未下单、实时库存未核</x:v>
      </x:c>
    </x:row>
    <x:row r="28" ht="38" hidden="0" customHeight="1">
      <x:c r="A28" s="12" t="str">
        <x:v>H20</x:v>
      </x:c>
      <x:c r="B28" s="12" t="str">
        <x:v>角码木螺钉</x:v>
      </x:c>
      <x:c r="C28" s="12" t="str">
        <x:v>五金</x:v>
      </x:c>
      <x:c r="D28" s="12" t="str">
        <x:v>Wovar；WV007880 / φ3×12沉头TX10</x:v>
      </x:c>
      <x:c r="E28" s="12" t="str">
        <x:v>A03</x:v>
      </x:c>
      <x:c r="F28" s="12" t="n">
        <x:v>16</x:v>
      </x:c>
      <x:c r="G28" s="12" t="str">
        <x:v>只</x:v>
      </x:c>
      <x:c r="H28" s="12" t="n">
        <x:f>IF(ISBLANK(F28),"",F28*$B$4)</x:f>
        <x:v>16</x:v>
      </x:c>
      <x:c r="I28" s="12" t="str">
        <x:v>H03</x:v>
      </x:c>
      <x:c r="J28" s="12" t="n">
        <x:v>200</x:v>
      </x:c>
      <x:c r="K28" s="12" t="str">
        <x:v>只</x:v>
      </x:c>
      <x:c r="L28" s="12" t="str">
        <x:v>每角码竖面2只；杆φ3、长12</x:v>
      </x:c>
      <x:c r="M28" s="12" t="str">
        <x:v>经T2.5角码横向入T15板约9.5；预钻孔径按实际木料试样，深度限位</x:v>
      </x:c>
      <x:c r="N28" s="12" t="str">
        <x:v>准确规格商品/可选规格页可网购；中国配送及实时库存未核</x:v>
      </x:c>
    </x:row>
    <x:row r="29" ht="38" hidden="0" customHeight="1">
      <x:c r="A29" s="11" t="str">
        <x:v>H21</x:v>
      </x:c>
      <x:c r="B29" s="11" t="str">
        <x:v>角码软垫</x:v>
      </x:c>
      <x:c r="C29" s="11" t="str">
        <x:v>五金</x:v>
      </x:c>
      <x:c r="D29" s="11" t="str">
        <x:v>Fugendichtband24；100191 / EAN4260627935185</x:v>
      </x:c>
      <x:c r="E29" s="11" t="str">
        <x:v>A03</x:v>
      </x:c>
      <x:c r="F29" s="11" t="n">
        <x:v>8</x:v>
      </x:c>
      <x:c r="G29" s="11" t="str">
        <x:v>片</x:v>
      </x:c>
      <x:c r="H29" s="11" t="n">
        <x:f>IF(ISBLANK(F29),"",F29*$B$4)</x:f>
        <x:v>8</x:v>
      </x:c>
      <x:c r="I29" s="11" t="str">
        <x:v>H03</x:v>
      </x:c>
      <x:c r="J29" s="11" t="n">
        <x:v>1</x:v>
      </x:c>
      <x:c r="K29" s="11" t="str">
        <x:v>片200×300</x:v>
      </x:c>
      <x:c r="L29" s="11" t="str">
        <x:v>实心EPDM片200×300×T2，胶另约0.22~0.24；裁8片24×12</x:v>
      </x:c>
      <x:c r="M29" s="11" t="str">
        <x:v>含胶名义2.23；按实测总厚定位角码钢顶Z882−实测厚，使软垫顶882</x:v>
      </x:c>
      <x:c r="N29" s="11" t="str">
        <x:v>德国厂家网店可下单1片；国内配送和库存未核</x:v>
      </x:c>
    </x:row>
    <x:row r="30" ht="38" hidden="0" customHeight="1">
      <x:c r="A30" s="12" t="str">
        <x:v>B01</x:v>
      </x:c>
      <x:c r="B30" s="12" t="str">
        <x:v>成品毛刷条</x:v>
      </x:c>
      <x:c r="C30" s="12" t="str">
        <x:v>五金</x:v>
      </x:c>
      <x:c r="D30" s="12" t="str">
        <x:v>RS PRO；RS PRO 326-9808</x:v>
      </x:c>
      <x:c r="E30" s="12" t="str">
        <x:v>A03</x:v>
      </x:c>
      <x:c r="F30" s="12" t="n">
        <x:v>2</x:v>
      </x:c>
      <x:c r="G30" s="12" t="str">
        <x:v>根</x:v>
      </x:c>
      <x:c r="H30" s="12" t="n">
        <x:f>IF(ISBLANK(F30),"",F30*$B$4)</x:f>
        <x:v>2</x:v>
      </x:c>
      <x:c r="I30" s="12" t="str">
        <x:v>H01</x:v>
      </x:c>
      <x:c r="J30" s="12" t="n">
        <x:v>1</x:v>
      </x:c>
      <x:c r="K30" s="12" t="str">
        <x:v>根</x:v>
      </x:c>
      <x:c r="L30" s="12" t="str">
        <x:v>每根1000；尼龙毛长19；F型铝座；截面总26.5、座6.7×6.7</x:v>
      </x:c>
      <x:c r="M30" s="12" t="str">
        <x:v>切160+298+500+298+160=1416；4处1缝合计覆盖1420；低Y侧28×7槽，刷毛向+Y，尖端留1</x:v>
      </x:c>
      <x:c r="N30" s="12" t="str">
        <x:v>成品或标准件可订购；未下单、实时库存未核</x:v>
      </x:c>
    </x:row>
    <x:row r="31" ht="38" hidden="0" customHeight="1">
      <x:c r="A31" s="11" t="str">
        <x:v>B03</x:v>
      </x:c>
      <x:c r="B31" s="11" t="str">
        <x:v>毛刷固定木螺钉</x:v>
      </x:c>
      <x:c r="C31" s="11" t="str">
        <x:v>五金</x:v>
      </x:c>
      <x:c r="D31" s="11" t="str">
        <x:v>QUARKZMAN；000338aa230623qmaneu / φ3×8</x:v>
      </x:c>
      <x:c r="E31" s="11" t="str">
        <x:v>A03</x:v>
      </x:c>
      <x:c r="F31" s="11" t="n">
        <x:v>10</x:v>
      </x:c>
      <x:c r="G31" s="11" t="str">
        <x:v>只</x:v>
      </x:c>
      <x:c r="H31" s="11" t="n">
        <x:f>IF(ISBLANK(F31),"",F31*$B$4)</x:f>
        <x:v>10</x:v>
      </x:c>
      <x:c r="I31" s="11" t="str">
        <x:v>H01</x:v>
      </x:c>
      <x:c r="J31" s="11" t="n">
        <x:v>100</x:v>
      </x:c>
      <x:c r="K31" s="11" t="str">
        <x:v>只</x:v>
      </x:c>
      <x:c r="L31" s="11" t="str">
        <x:v>每毛刷段2枚；5段共10枚</x:v>
      </x:c>
      <x:c r="M31" s="11" t="str">
        <x:v>成品铝型材自配φ3.5孔；不得把型材截面剪短；木板槽后余厚11，限深避免穿面</x:v>
      </x:c>
      <x:c r="N31" s="11" t="str">
        <x:v>准确规格商品/可选规格页可网购；中国配送及实时库存未核</x:v>
      </x:c>
    </x:row>
    <x:row r="32" ht="38" hidden="0" customHeight="1">
      <x:c r="A32" s="12" t="str">
        <x:v>H22</x:v>
      </x:c>
      <x:c r="B32" s="12" t="str">
        <x:v>横梁调整垫片</x:v>
      </x:c>
      <x:c r="C32" s="12" t="str">
        <x:v>五金</x:v>
      </x:c>
      <x:c r="D32" s="12" t="str">
        <x:v>WKOOA；W29338 / DIN988 6×12×1</x:v>
      </x:c>
      <x:c r="E32" s="12" t="str">
        <x:v>S09A</x:v>
      </x:c>
      <x:c r="F32" s="12" t="n">
        <x:v>64</x:v>
      </x:c>
      <x:c r="G32" s="12" t="str">
        <x:v>片</x:v>
      </x:c>
      <x:c r="H32" s="12" t="n">
        <x:f>IF(ISBLANK(F32),"",F32*$B$4)</x:f>
        <x:v>64</x:v>
      </x:c>
      <x:c r="I32" s="12" t="str">
        <x:v>H02</x:v>
      </x:c>
      <x:c r="J32" s="12" t="n">
        <x:v>100</x:v>
      </x:c>
      <x:c r="K32" s="12" t="str">
        <x:v>片</x:v>
      </x:c>
      <x:c r="L32" s="12" t="str">
        <x:v>内径6、外径12、厚1；每个螺栓4片叠为4</x:v>
      </x:c>
      <x:c r="M32" s="12" t="str">
        <x:v>16个M6螺栓位置×4片=64；每端2螺栓8片；使478总长梁装入486内净距</x:v>
      </x:c>
      <x:c r="N32" s="12" t="str">
        <x:v>厂家网店100片/包可加入购物车；国内配送和库存未核</x:v>
      </x:c>
    </x:row>
    <x:row r="33" ht="38" hidden="0" customHeight="1">
      <x:c r="A33" s="11" t="str">
        <x:v>H23</x:v>
      </x:c>
      <x:c r="B33" s="11" t="str">
        <x:v>检修盖及吊板防坠索</x:v>
      </x:c>
      <x:c r="C33" s="11" t="str">
        <x:v>五金</x:v>
      </x:c>
      <x:c r="D33" s="11" t="str">
        <x:v>Elesa+Ganter；GN111.2-150-C-BL</x:v>
      </x:c>
      <x:c r="E33" s="11" t="str">
        <x:v>A04</x:v>
      </x:c>
      <x:c r="F33" s="11" t="n">
        <x:v>4</x:v>
      </x:c>
      <x:c r="G33" s="11" t="str">
        <x:v>根</x:v>
      </x:c>
      <x:c r="H33" s="11" t="n">
        <x:f>IF(ISBLANK(F33),"",F33*$B$4)</x:f>
        <x:v>4</x:v>
      </x:c>
      <x:c r="I33" s="11" t="str">
        <x:v>H01</x:v>
      </x:c>
      <x:c r="J33" s="11" t="n">
        <x:v>1</x:v>
      </x:c>
      <x:c r="K33" s="11" t="str">
        <x:v>根</x:v>
      </x:c>
      <x:c r="L33" s="11" t="str">
        <x:v>钢索φ1.6；索环根间150；两端片孔φ5.3、宽14、T1.5；拉直孔心距约183</x:v>
      </x:c>
      <x:c r="M33" s="11" t="str">
        <x:v>盖2根、吊板2根；载板平差X40/Y20、初始Z差2，下放约175.45；盖竖挂平差10、上下差182.73；有效长度按实物核</x:v>
      </x:c>
      <x:c r="N33" s="11" t="str">
        <x:v>经销网店可加入购物篮但页面无现货；须核交期及中国配送</x:v>
      </x:c>
    </x:row>
    <x:row r="34" ht="38" hidden="0" customHeight="1">
      <x:c r="A34" s="12" t="str">
        <x:v>H24</x:v>
      </x:c>
      <x:c r="B34" s="12" t="str">
        <x:v>防坠索端片紧固配套</x:v>
      </x:c>
      <x:c r="C34" s="12" t="str">
        <x:v>五金</x:v>
      </x:c>
      <x:c r="D34" s="12" t="str">
        <x:v>标准件；ISO7045 M4×16＋2×DIN9021 M4＋DIN985 M4</x:v>
      </x:c>
      <x:c r="E34" s="12" t="str">
        <x:v>A04</x:v>
      </x:c>
      <x:c r="F34" s="12" t="n">
        <x:v>8</x:v>
      </x:c>
      <x:c r="G34" s="12" t="str">
        <x:v>套</x:v>
      </x:c>
      <x:c r="H34" s="12" t="n">
        <x:f>IF(ISBLANK(F34),"",F34*$B$4)</x:f>
        <x:v>8</x:v>
      </x:c>
      <x:c r="I34" s="12" t="str">
        <x:v>H01</x:v>
      </x:c>
      <x:c r="J34" s="12"/>
      <x:c r="K34" s="12" t="str"/>
      <x:c r="L34" s="12" t="str">
        <x:v>每套1盘头螺钉、2大垫φ4.3×12×T1、1防松母；M4母总高5</x:v>
      </x:c>
      <x:c r="M34" s="12" t="str">
        <x:v>悬臂螺钉从上向下，头＋上垫最大4.25；端片直接贴钢件下侧，下垫及防松母夹紧；木底净0.75</x:v>
      </x:c>
      <x:c r="N34" s="12" t="str">
        <x:v>螺钉准确型号可网购；套内垫圈与螺母分购，国内配送及库存未核</x:v>
      </x:c>
    </x:row>
    <x:row r="35" ht="38" hidden="0" customHeight="1">
      <x:c r="A35" s="11" t="str">
        <x:v>E01</x:v>
      </x:c>
      <x:c r="B35" s="11" t="str">
        <x:v>桌面三位五孔+3USB排插</x:v>
      </x:c>
      <x:c r="C35" s="11" t="str">
        <x:v>电气</x:v>
      </x:c>
      <x:c r="D35" s="11" t="str">
        <x:v>公牛UU3653（候选）</x:v>
      </x:c>
      <x:c r="E35" s="11" t="str">
        <x:v>A04</x:v>
      </x:c>
      <x:c r="F35" s="11" t="n">
        <x:v>2</x:v>
      </x:c>
      <x:c r="G35" s="11" t="str">
        <x:v>个</x:v>
      </x:c>
      <x:c r="H35" s="11" t="n">
        <x:f>IF(ISBLANK(F35),"",F35*$B$4)</x:f>
        <x:v>2</x:v>
      </x:c>
      <x:c r="I35" s="11" t="str">
        <x:v>E06</x:v>
      </x:c>
      <x:c r="J35" s="11"/>
      <x:c r="K35" s="11" t="str"/>
      <x:c r="L35" s="11" t="str">
        <x:v>厂家官网：3个五孔AC，1USB-A+2USB-C，USB最大输出65W</x:v>
      </x:c>
      <x:c r="M35" s="11" t="str">
        <x:v>AC额定值、到货外包、原装线规格、同时插3只用户插头时翻盖净空；若样板要求3个USB-A，本型号不等同，仍须换配</x:v>
      </x:c>
      <x:c r="N35" s="11" t="str">
        <x:v>端口数量符合3USB概念；非3USB-A；机电外包待核</x:v>
      </x:c>
    </x:row>
    <x:row r="36" ht="38" hidden="0" customHeight="1">
      <x:c r="A36" s="12" t="str">
        <x:v>E02</x:v>
      </x:c>
      <x:c r="B36" s="12" t="str">
        <x:v>桌肚八位五孔排插</x:v>
      </x:c>
      <x:c r="C36" s="12" t="str">
        <x:v>电气</x:v>
      </x:c>
      <x:c r="D36" s="12" t="str">
        <x:v>公牛GN-604（候选）</x:v>
      </x:c>
      <x:c r="E36" s="12" t="str">
        <x:v>S07</x:v>
      </x:c>
      <x:c r="F36" s="12" t="n">
        <x:v>2</x:v>
      </x:c>
      <x:c r="G36" s="12" t="str">
        <x:v>个</x:v>
      </x:c>
      <x:c r="H36" s="12" t="n">
        <x:f>IF(ISBLANK(F36),"",F36*$B$4)</x:f>
        <x:v>2</x:v>
      </x:c>
      <x:c r="I36" s="12" t="str">
        <x:v>E05</x:v>
      </x:c>
      <x:c r="J36" s="12"/>
      <x:c r="K36" s="12" t="str"/>
      <x:c r="L36" s="12" t="str">
        <x:v>厂家官网8位，最大10A，250V，过载保护，3m/5m原装线</x:v>
      </x:c>
      <x:c r="M36" s="12" t="str">
        <x:v>本体外包、固定器、绕线余量及门启闭干涉</x:v>
      </x:c>
      <x:c r="N36" s="12" t="str">
        <x:v>孔位数与接口额定可核，外形待实物</x:v>
      </x:c>
    </x:row>
    <x:row r="37" ht="38" hidden="0" customHeight="1">
      <x:c r="A37" s="11" t="str">
        <x:v>E03</x:v>
      </x:c>
      <x:c r="B37" s="11" t="str">
        <x:v>明装安全五孔插座</x:v>
      </x:c>
      <x:c r="C37" s="11" t="str">
        <x:v>电气</x:v>
      </x:c>
      <x:c r="D37" s="11" t="str">
        <x:v>正泰NEW1-C11100A（采购候选）</x:v>
      </x:c>
      <x:c r="E37" s="11" t="str">
        <x:v>A01</x:v>
      </x:c>
      <x:c r="F37" s="11" t="n">
        <x:v>1</x:v>
      </x:c>
      <x:c r="G37" s="11" t="str">
        <x:v>个</x:v>
      </x:c>
      <x:c r="H37" s="11" t="n">
        <x:f>IF(ISBLANK(F37),"",F37*$B$4)</x:f>
        <x:v>1</x:v>
      </x:c>
      <x:c r="I37" s="11" t="str">
        <x:v>E01</x:v>
      </x:c>
      <x:c r="J37" s="11"/>
      <x:c r="K37" s="11" t="str"/>
      <x:c r="L37" s="11" t="str">
        <x:v>可检索到明装五孔销售型号</x:v>
      </x:c>
      <x:c r="M37" s="11" t="str">
        <x:v>未取得完整厂家安装图、接线端子图与到货CCC证书；不锁定孔距和外包</x:v>
      </x:c>
      <x:c r="N37" s="11" t="str">
        <x:v>仅采购候选，不以商城文案作电气安装证据</x:v>
      </x:c>
    </x:row>
    <x:row r="38" ht="38" hidden="0" customHeight="1">
      <x:c r="A38" s="12" t="str">
        <x:v>E07</x:v>
      </x:c>
      <x:c r="B38" s="12" t="str">
        <x:v>中央成品分线盒与内板</x:v>
      </x:c>
      <x:c r="C38" s="12" t="str">
        <x:v>电气</x:v>
      </x:c>
      <x:c r="D38" s="12" t="str">
        <x:v>Hammond1557HA2GY箱体＋1557HPL内板各1</x:v>
      </x:c>
      <x:c r="E38" s="12" t="str">
        <x:v>S10B</x:v>
      </x:c>
      <x:c r="F38" s="12" t="n">
        <x:v>1</x:v>
      </x:c>
      <x:c r="G38" s="12" t="str">
        <x:v>套</x:v>
      </x:c>
      <x:c r="H38" s="12" t="n">
        <x:f>IF(ISBLANK(F38),"",F38*$B$4)</x:f>
        <x:v>1</x:v>
      </x:c>
      <x:c r="I38" s="12" t="str">
        <x:v>E04</x:v>
      </x:c>
      <x:c r="J38" s="12"/>
      <x:c r="K38" s="12" t="str"/>
      <x:c r="L38" s="12" t="str">
        <x:v>箱体外包200×200×70；另购1557HPL原厂内板，工程图外182×182、T2.05、4φ4孔距170；网页187规格概略不作加工依据。</x:v>
      </x:c>
      <x:c r="M38" s="12" t="str">
        <x:v>R03内板操作面Z862为安装设计；原盒内柱高度/紧固件和内盖真实净距首件核；改孔后不宣称IP68。</x:v>
      </x:c>
      <x:c r="N38" s="12" t="str">
        <x:v>主选，裸盒外包已核</x:v>
      </x:c>
    </x:row>
    <x:row r="39" ht="38" hidden="0" customHeight="1">
      <x:c r="A39" s="11" t="str">
        <x:v>E08</x:v>
      </x:c>
      <x:c r="B39" s="11" t="str">
        <x:v>排插独立固定分支插座</x:v>
      </x:c>
      <x:c r="C39" s="11" t="str">
        <x:v>电气</x:v>
      </x:c>
      <x:c r="D39" s="11" t="str">
        <x:v>公牛GN-N1110或同级带保护门单插座（候选）</x:v>
      </x:c>
      <x:c r="E39" s="11" t="str">
        <x:v>A01</x:v>
      </x:c>
      <x:c r="F39" s="11" t="n">
        <x:v>4</x:v>
      </x:c>
      <x:c r="G39" s="11" t="str">
        <x:v>只</x:v>
      </x:c>
      <x:c r="H39" s="11" t="n">
        <x:f>IF(ISBLANK(F39),"",F39*$B$4)</x:f>
        <x:v>4</x:v>
      </x:c>
      <x:c r="I39" s="11" t="str">
        <x:v>E01</x:v>
      </x:c>
      <x:c r="J39" s="11"/>
      <x:c r="K39" s="11" t="str"/>
      <x:c r="L39" s="11" t="str">
        <x:v>厂家GN-N1110为自接线10A/250V、1+1插口、防拉脱，原装插头可插入</x:v>
      </x:c>
      <x:c r="M39" s="11" t="str">
        <x:v>固定安装方法、外包和完整CCC/接线说明；到货后用绝缘固定支架，无厂家许可不得钻穿壳体</x:v>
      </x:c>
      <x:c r="N39" s="11" t="str">
        <x:v>X1~X4隐藏分支插座；不得用四位排插替代星形固定分线</x:v>
      </x:c>
    </x:row>
    <x:row r="40" ht="38" hidden="0" customHeight="1">
      <x:c r="A40" s="12" t="str">
        <x:v>E09</x:v>
      </x:c>
      <x:c r="B40" s="12" t="str">
        <x:v>C14电源入口</x:v>
      </x:c>
      <x:c r="C40" s="12" t="str">
        <x:v>电气</x:v>
      </x:c>
      <x:c r="D40" s="12" t="str">
        <x:v>SCHURTER6100.3300 C14电源入口</x:v>
      </x:c>
      <x:c r="E40" s="12" t="str">
        <x:v>A01</x:v>
      </x:c>
      <x:c r="F40" s="12" t="n">
        <x:v>1</x:v>
      </x:c>
      <x:c r="G40" s="12" t="str">
        <x:v>只</x:v>
      </x:c>
      <x:c r="H40" s="12" t="n">
        <x:f>IF(ISBLANK(F40),"",F40*$B$4)</x:f>
        <x:v>1</x:v>
      </x:c>
      <x:c r="I40" s="12" t="str">
        <x:v>E04</x:v>
      </x:c>
      <x:c r="J40" s="12"/>
      <x:c r="K40" s="12" t="str"/>
      <x:c r="L40" s="12" t="str">
        <x:v>C14，IEC10A/250V，6.3×0.8快接，螺钉固定，原厂含尺寸图</x:v>
      </x:c>
      <x:c r="M40" s="12" t="str">
        <x:v>中国适用认证和到货同版外形；后罩另列E18、快接E19、紧固E20。</x:v>
      </x:c>
      <x:c r="N40" s="12" t="str">
        <x:v>X0安装接口候选，禁止按UL15A当中国10A接口升级</x:v>
      </x:c>
    </x:row>
    <x:row r="41" ht="38" hidden="0" customHeight="1">
      <x:c r="A41" s="11" t="str">
        <x:v>E10</x:v>
      </x:c>
      <x:c r="B41" s="11" t="str">
        <x:v>国标10A/C13成品电源线</x:v>
      </x:c>
      <x:c r="C41" s="11" t="str">
        <x:v>电气</x:v>
      </x:c>
      <x:c r="D41" s="11" t="str">
        <x:v>百格/亿晟PSB-10W—C13-10W成品线，订3×1.5mm²</x:v>
      </x:c>
      <x:c r="E41" s="11" t="str">
        <x:v>A01</x:v>
      </x:c>
      <x:c r="F41" s="11" t="n">
        <x:v>1</x:v>
      </x:c>
      <x:c r="G41" s="11" t="str">
        <x:v>条</x:v>
      </x:c>
      <x:c r="H41" s="11" t="n">
        <x:f>IF(ISBLANK(F41),"",F41*$B$4)</x:f>
        <x:v>1</x:v>
      </x:c>
      <x:c r="I41" s="11" t="str">
        <x:v>E04</x:v>
      </x:c>
      <x:c r="J41" s="11"/>
      <x:c r="K41" s="11" t="str"/>
      <x:c r="L41" s="11" t="str">
        <x:v>厂家列国标双头线、10A/250V、3×0.75~1.5、长度可定</x:v>
      </x:c>
      <x:c r="M41" s="11" t="str">
        <x:v>选定1.5版本的完整CCC证书和绝缘外径；网购成品替代可核广昌兴PCC311331D51003，但商城参数不替代厂家证书</x:v>
      </x:c>
      <x:c r="N41" s="11" t="str">
        <x:v>主选3×1.5完整成品；SCHURTER6051.2032虽CCC但3×1.0不符合本项目线径，已排除</x:v>
      </x:c>
    </x:row>
    <x:row r="42" ht="38" hidden="0" customHeight="1">
      <x:c r="A42" s="12" t="str">
        <x:v>E11</x:v>
      </x:c>
      <x:c r="B42" s="12" t="str">
        <x:v>L灰色直通端子</x:v>
      </x:c>
      <x:c r="C42" s="12" t="str">
        <x:v>电气</x:v>
      </x:c>
      <x:c r="D42" s="12" t="str">
        <x:v>WAGO2002-1201</x:v>
      </x:c>
      <x:c r="E42" s="12" t="str">
        <x:v>A01</x:v>
      </x:c>
      <x:c r="F42" s="12" t="n">
        <x:v>6</x:v>
      </x:c>
      <x:c r="G42" s="12" t="str">
        <x:v>只</x:v>
      </x:c>
      <x:c r="H42" s="12" t="n">
        <x:f>IF(ISBLANK(F42),"",F42*$B$4)</x:f>
        <x:v>6</x:v>
      </x:c>
      <x:c r="I42" s="12" t="str">
        <x:v>E03</x:v>
      </x:c>
      <x:c r="J42" s="12"/>
      <x:c r="K42" s="12" t="str"/>
      <x:c r="L42" s="12" t="str">
        <x:v>灰色2.5mm²导轨直通端子，单电位，适用DIN35×7.5</x:v>
      </x:c>
      <x:c r="M42" s="12" t="str">
        <x:v>XL0~5；端子与电流/导线厂家数据复核后实施</x:v>
      </x:c>
      <x:c r="N42" s="12" t="str">
        <x:v>XL0~5；端子与电流/导线厂家数据复核后实施</x:v>
      </x:c>
    </x:row>
    <x:row r="43" ht="38" hidden="0" customHeight="1">
      <x:c r="A43" s="11" t="str">
        <x:v>E12</x:v>
      </x:c>
      <x:c r="B43" s="11" t="str">
        <x:v>N蓝色直通端子</x:v>
      </x:c>
      <x:c r="C43" s="11" t="str">
        <x:v>电气</x:v>
      </x:c>
      <x:c r="D43" s="11" t="str">
        <x:v>WAGO2002-1204</x:v>
      </x:c>
      <x:c r="E43" s="11" t="str">
        <x:v>A01</x:v>
      </x:c>
      <x:c r="F43" s="11" t="n">
        <x:v>6</x:v>
      </x:c>
      <x:c r="G43" s="11" t="str">
        <x:v>只</x:v>
      </x:c>
      <x:c r="H43" s="11" t="n">
        <x:f>IF(ISBLANK(F43),"",F43*$B$4)</x:f>
        <x:v>6</x:v>
      </x:c>
      <x:c r="I43" s="11" t="str">
        <x:v>E03</x:v>
      </x:c>
      <x:c r="J43" s="11"/>
      <x:c r="K43" s="11" t="str"/>
      <x:c r="L43" s="11" t="str">
        <x:v>蓝色2.5mm²导轨直通端子，单电位，适用DIN35×7.5</x:v>
      </x:c>
      <x:c r="M43" s="11" t="str">
        <x:v>XN0~5；与L分隔、不同色</x:v>
      </x:c>
      <x:c r="N43" s="11" t="str">
        <x:v>XN0~5；与L分隔、不同色</x:v>
      </x:c>
    </x:row>
    <x:row r="44" ht="38" hidden="0" customHeight="1">
      <x:c r="A44" s="12" t="str">
        <x:v>E13</x:v>
      </x:c>
      <x:c r="B44" s="12" t="str">
        <x:v>黄绿PE端子</x:v>
      </x:c>
      <x:c r="C44" s="12" t="str">
        <x:v>电气</x:v>
      </x:c>
      <x:c r="D44" s="12" t="str">
        <x:v>WAGO2002-1207</x:v>
      </x:c>
      <x:c r="E44" s="12" t="str">
        <x:v>A01</x:v>
      </x:c>
      <x:c r="F44" s="12" t="n">
        <x:v>7</x:v>
      </x:c>
      <x:c r="G44" s="12" t="str">
        <x:v>只</x:v>
      </x:c>
      <x:c r="H44" s="12" t="n">
        <x:f>IF(ISBLANK(F44),"",F44*$B$4)</x:f>
        <x:v>7</x:v>
      </x:c>
      <x:c r="I44" s="12" t="str">
        <x:v>E03</x:v>
      </x:c>
      <x:c r="J44" s="12"/>
      <x:c r="K44" s="12" t="str"/>
      <x:c r="L44" s="12" t="str">
        <x:v>黄绿2.5mm²专用PE端子，适用DIN35×7.5</x:v>
      </x:c>
      <x:c r="M44" s="12" t="str">
        <x:v>XPE0~6；连续导轨、接地脚与PE0导通须验证</x:v>
      </x:c>
      <x:c r="N44" s="12" t="str">
        <x:v>XPE0~6；连续导轨、接地脚与PE0导通须验证</x:v>
      </x:c>
    </x:row>
    <x:row r="45" ht="38" hidden="0" customHeight="1">
      <x:c r="A45" s="11" t="str">
        <x:v>E14</x:v>
      </x:c>
      <x:c r="B45" s="11" t="str">
        <x:v>六位连续跨接桥</x:v>
      </x:c>
      <x:c r="C45" s="11" t="str">
        <x:v>电气</x:v>
      </x:c>
      <x:c r="D45" s="11" t="str">
        <x:v>WAGO2002-406</x:v>
      </x:c>
      <x:c r="E45" s="11" t="str">
        <x:v>A01</x:v>
      </x:c>
      <x:c r="F45" s="11" t="n">
        <x:v>2</x:v>
      </x:c>
      <x:c r="G45" s="11" t="str">
        <x:v>根</x:v>
      </x:c>
      <x:c r="H45" s="11" t="n">
        <x:f>IF(ISBLANK(F45),"",F45*$B$4)</x:f>
        <x:v>2</x:v>
      </x:c>
      <x:c r="I45" s="11" t="str">
        <x:v>E03</x:v>
      </x:c>
      <x:c r="J45" s="11"/>
      <x:c r="K45" s="11" t="str"/>
      <x:c r="L45" s="11" t="str">
        <x:v>6位连续跨接桥，厂家2002系列配套</x:v>
      </x:c>
      <x:c r="M45" s="11" t="str">
        <x:v>L/N各一根；严禁错购/020-000三对独立桥</x:v>
      </x:c>
      <x:c r="N45" s="11" t="str">
        <x:v>L/N各一根；严禁错购/020-000三对独立桥</x:v>
      </x:c>
    </x:row>
    <x:row r="46" ht="38" hidden="0" customHeight="1">
      <x:c r="A46" s="12" t="str">
        <x:v>QF0</x:v>
      </x:c>
      <x:c r="B46" s="12" t="str">
        <x:v>施耐德A9D32610（外部保护候选）</x:v>
      </x:c>
      <x:c r="C46" s="12" t="str">
        <x:v>电气</x:v>
      </x:c>
      <x:c r="D46" s="12" t="str">
        <x:v>施耐德A9D32610（外部保护候选）</x:v>
      </x:c>
      <x:c r="E46" s="12" t="str"/>
      <x:c r="F46" s="12"/>
      <x:c r="G46" s="12" t="str">
        <x:v>待定</x:v>
      </x:c>
      <x:c r="H46" s="12" t="str">
        <x:f>IF(ISBLANK(F46),"",F46*$B$4)</x:f>
      </x:c>
      <x:c r="I46" s="12" t="str"/>
      <x:c r="J46" s="12"/>
      <x:c r="K46" s="12" t="str"/>
      <x:c r="L46" s="12" t="str">
        <x:v>官方10A、1P+N、C曲线、6kA、30mA、TypeA；可隔离L/N</x:v>
      </x:c>
      <x:c r="M46" s="12" t="str">
        <x:v>本地适用认证、曲线/分断能力/上游选择性及外部箱体；某市场已替代，不锁定采购</x:v>
      </x:c>
      <x:c r="N46" s="12" t="str">
        <x:v>现场边界内候选，不计已装件、不假定现场已具备</x:v>
      </x:c>
    </x:row>
    <x:row r="47" ht="38" hidden="0" customHeight="1">
      <x:c r="A47" s="11" t="str">
        <x:v>E18</x:v>
      </x:c>
      <x:c r="B47" s="11" t="str">
        <x:v>C14原厂绝缘后罩</x:v>
      </x:c>
      <x:c r="C47" s="11" t="str">
        <x:v>电气</x:v>
      </x:c>
      <x:c r="D47" s="11" t="str">
        <x:v>SCHURTER RC320-03，3-125-663</x:v>
      </x:c>
      <x:c r="E47" s="11" t="str">
        <x:v>A01</x:v>
      </x:c>
      <x:c r="F47" s="11" t="n">
        <x:v>1</x:v>
      </x:c>
      <x:c r="G47" s="11" t="str">
        <x:v>只</x:v>
      </x:c>
      <x:c r="H47" s="11" t="n">
        <x:f>IF(ISBLANK(F47),"",F47*$B$4)</x:f>
        <x:v>1</x:v>
      </x:c>
      <x:c r="I47" s="11" t="str">
        <x:v>E04</x:v>
      </x:c>
      <x:c r="J47" s="11"/>
      <x:c r="K47" s="11" t="str"/>
      <x:c r="L47" s="11" t="str">
        <x:v>原厂列适配6100-3；尺寸31.2×23.5×51，出线口内径8.5、外颈径11.5。</x:v>
      </x:c>
      <x:c r="M47" s="11" t="str">
        <x:v>主选原厂后罩；销售页支持订购但未称现货，安装全罩合与线径首件核定</x:v>
      </x:c>
      <x:c r="N47" s="11" t="str">
        <x:v>主选原厂后罩；销售页支持订购但未称现货，安装全罩合与线径首件核定</x:v>
      </x:c>
    </x:row>
    <x:row r="48" ht="38" hidden="0" customHeight="1">
      <x:c r="A48" s="12" t="str">
        <x:v>E19</x:v>
      </x:c>
      <x:c r="B48" s="12" t="str">
        <x:v>全绝缘快接母端</x:v>
      </x:c>
      <x:c r="C48" s="12" t="str">
        <x:v>电气</x:v>
      </x:c>
      <x:c r="D48" s="12" t="str">
        <x:v>TE Connectivity735278</x:v>
      </x:c>
      <x:c r="E48" s="12" t="str">
        <x:v>A01</x:v>
      </x:c>
      <x:c r="F48" s="12" t="n">
        <x:v>3</x:v>
      </x:c>
      <x:c r="G48" s="12" t="str">
        <x:v>只</x:v>
      </x:c>
      <x:c r="H48" s="12" t="n">
        <x:f>IF(ISBLANK(F48),"",F48*$B$4)</x:f>
        <x:v>3</x:v>
      </x:c>
      <x:c r="I48" s="12" t="str">
        <x:v>E04</x:v>
      </x:c>
      <x:c r="J48" s="12"/>
      <x:c r="K48" s="12" t="str"/>
      <x:c r="L48" s="12" t="str">
        <x:v>全绝缘母快接6.35×0.81，适1~1.5mm²，直型长21.6，导体绝缘径≤3.3，尼龙绝缘。</x:v>
      </x:c>
      <x:c r="M48" s="12" t="str">
        <x:v>L/N/PE各1只；厂家配套工具压接及拉脱验收</x:v>
      </x:c>
      <x:c r="N48" s="12" t="str">
        <x:v>L/N/PE各1只；厂家配套工具压接及拉脱验收</x:v>
      </x:c>
    </x:row>
    <x:row r="49" ht="38" hidden="0" customHeight="1">
      <x:c r="A49" s="11" t="str">
        <x:v>E20</x:v>
      </x:c>
      <x:c r="B49" s="11" t="str">
        <x:v>C14入口固定紧固件</x:v>
      </x:c>
      <x:c r="C49" s="11" t="str">
        <x:v>电气</x:v>
      </x:c>
      <x:c r="D49" s="11" t="str">
        <x:v>M3×8沉头螺钉、平垫、防松螺母</x:v>
      </x:c>
      <x:c r="E49" s="11" t="str">
        <x:v>A01</x:v>
      </x:c>
      <x:c r="F49" s="11" t="n">
        <x:v>2</x:v>
      </x:c>
      <x:c r="G49" s="11" t="str">
        <x:v>套</x:v>
      </x:c>
      <x:c r="H49" s="11" t="n">
        <x:f>IF(ISBLANK(F49),"",F49*$B$4)</x:f>
        <x:v>2</x:v>
      </x:c>
      <x:c r="I49" s="11" t="str">
        <x:v>E04</x:v>
      </x:c>
      <x:c r="J49" s="11"/>
      <x:c r="K49" s="11" t="str"/>
      <x:c r="L49" s="11" t="str">
        <x:v>按SCHURTER6100.3300厂家2×φ3.5固定孔及沉孔配置。</x:v>
      </x:c>
      <x:c r="M49" s="11" t="str">
        <x:v>两套入口固定件；实际叠厚和尾端突出量首件核定，不作PE连接</x:v>
      </x:c>
      <x:c r="N49" s="11" t="str">
        <x:v>两套入口固定件；实际叠厚和尾端突出量首件核定，不作PE连接</x:v>
      </x:c>
    </x:row>
    <x:row r="50" ht="38" hidden="0" customHeight="1">
      <x:c r="A50" s="12" t="str">
        <x:v>E21</x:v>
      </x:c>
      <x:c r="B50" s="12" t="str">
        <x:v>中央组件柔性PE线</x:v>
      </x:c>
      <x:c r="C50" s="12" t="str">
        <x:v>电气</x:v>
      </x:c>
      <x:c r="D50" s="12" t="str">
        <x:v>黄绿柔性铜芯PE线2.5mm²</x:v>
      </x:c>
      <x:c r="E50" s="12" t="str">
        <x:v>A01</x:v>
      </x:c>
      <x:c r="F50" s="12" t="n">
        <x:v>2</x:v>
      </x:c>
      <x:c r="G50" s="12" t="str">
        <x:v>根</x:v>
      </x:c>
      <x:c r="H50" s="12" t="n">
        <x:f>IF(ISBLANK(F50),"",F50*$B$4)</x:f>
        <x:v>2</x:v>
      </x:c>
      <x:c r="I50" s="12" t="str">
        <x:v>E03</x:v>
      </x:c>
      <x:c r="J50" s="12"/>
      <x:c r="K50" s="12" t="str"/>
      <x:c r="L50" s="12" t="str">
        <x:v>S10A与S10B各1条独立回固定钢架；截面为R02设计值，长度待实测。</x:v>
      </x:c>
      <x:c r="M50" s="12" t="str">
        <x:v>活动线材按厂家允许弯曲条件选配；250维护余量不当作总领料长度</x:v>
      </x:c>
      <x:c r="N50" s="12" t="str">
        <x:v>活动线材按厂家允许弯曲条件选配；250维护余量不当作总领料长度</x:v>
      </x:c>
    </x:row>
    <x:row r="51" ht="38" hidden="0" customHeight="1">
      <x:c r="A51" s="11" t="str">
        <x:v>E22</x:v>
      </x:c>
      <x:c r="B51" s="11" t="str">
        <x:v>中央PE移动端M4环端子</x:v>
      </x:c>
      <x:c r="C51" s="11" t="str">
        <x:v>电气</x:v>
      </x:c>
      <x:c r="D51" s="11" t="str">
        <x:v>JST FV2-4</x:v>
      </x:c>
      <x:c r="E51" s="11" t="str">
        <x:v>A01</x:v>
      </x:c>
      <x:c r="F51" s="11" t="n">
        <x:v>2</x:v>
      </x:c>
      <x:c r="G51" s="11" t="str">
        <x:v>只</x:v>
      </x:c>
      <x:c r="H51" s="11" t="n">
        <x:f>IF(ISBLANK(F51),"",F51*$B$4)</x:f>
        <x:v>2</x:v>
      </x:c>
      <x:c r="I51" s="11" t="str">
        <x:v>E03</x:v>
      </x:c>
      <x:c r="J51" s="11"/>
      <x:c r="K51" s="11" t="str"/>
      <x:c r="L51" s="11" t="str">
        <x:v>M4环端，厂家适线1.04~2.63mm²；匹配2.5mm²移动端。</x:v>
      </x:c>
      <x:c r="M51" s="11" t="str">
        <x:v>两根中央PE各1只；依厂家工具压接</x:v>
      </x:c>
      <x:c r="N51" s="11" t="str">
        <x:v>两根中央PE各1只；依厂家工具压接</x:v>
      </x:c>
    </x:row>
    <x:row r="52" ht="38" hidden="0" customHeight="1">
      <x:c r="A52" s="12" t="str">
        <x:v>E23</x:v>
      </x:c>
      <x:c r="B52" s="12" t="str">
        <x:v>中央PE固定端M5环端子</x:v>
      </x:c>
      <x:c r="C52" s="12" t="str">
        <x:v>电气</x:v>
      </x:c>
      <x:c r="D52" s="12" t="str">
        <x:v>JST FV2-5</x:v>
      </x:c>
      <x:c r="E52" s="12" t="str">
        <x:v>A01</x:v>
      </x:c>
      <x:c r="F52" s="12" t="n">
        <x:v>2</x:v>
      </x:c>
      <x:c r="G52" s="12" t="str">
        <x:v>只</x:v>
      </x:c>
      <x:c r="H52" s="12" t="n">
        <x:f>IF(ISBLANK(F52),"",F52*$B$4)</x:f>
        <x:v>2</x:v>
      </x:c>
      <x:c r="I52" s="12" t="str">
        <x:v>E03</x:v>
      </x:c>
      <x:c r="J52" s="12"/>
      <x:c r="K52" s="12" t="str"/>
      <x:c r="L52" s="12" t="str">
        <x:v>M5环端，厂家适线1.04~2.63mm²；匹配2.5mm²固定端。</x:v>
      </x:c>
      <x:c r="M52" s="12" t="str">
        <x:v>两根中央PE各1只；PE0预留两环端可靠夹持空间，禁止无限叠端</x:v>
      </x:c>
      <x:c r="N52" s="12" t="str">
        <x:v>两根中央PE各1只；PE0预留两环端可靠夹持空间，禁止无限叠端</x:v>
      </x:c>
    </x:row>
    <x:row r="53" ht="38" hidden="0" customHeight="1">
      <x:c r="A53" s="11" t="str">
        <x:v>E24</x:v>
      </x:c>
      <x:c r="B53" s="11" t="str">
        <x:v>中央组件PE专用紧固件</x:v>
      </x:c>
      <x:c r="C53" s="11" t="str">
        <x:v>电气</x:v>
      </x:c>
      <x:c r="D53" s="11" t="str">
        <x:v>M4×10螺钉、平垫、齿形垫、防松螺母</x:v>
      </x:c>
      <x:c r="E53" s="11" t="str">
        <x:v>A01</x:v>
      </x:c>
      <x:c r="F53" s="11" t="n">
        <x:v>2</x:v>
      </x:c>
      <x:c r="G53" s="11" t="str">
        <x:v>套</x:v>
      </x:c>
      <x:c r="H53" s="11" t="n">
        <x:f>IF(ISBLANK(F53),"",F53*$B$4)</x:f>
        <x:v>2</x:v>
      </x:c>
      <x:c r="I53" s="11" t="str">
        <x:v>E03</x:v>
      </x:c>
      <x:c r="J53" s="11"/>
      <x:c r="K53" s="11" t="str"/>
      <x:c r="L53" s="11" t="str">
        <x:v>配S10A孔(1000,450)、S10B孔(1000,460)，两孔φ4.5为R02结构接口。</x:v>
      </x:c>
      <x:c r="M53" s="11" t="str">
        <x:v>每移动组件1套，螺纹向上；去漆、防松并测连续性，PE不兼吊线</x:v>
      </x:c>
      <x:c r="N53" s="11" t="str">
        <x:v>每移动组件1套，螺纹向上；去漆、防松并测连续性，PE不兼吊线</x:v>
      </x:c>
    </x:row>
    <x:row r="54" ht="38" hidden="0" customHeight="1">
      <x:c r="A54" s="12" t="str">
        <x:v>E06</x:v>
      </x:c>
      <x:c r="B54" s="12" t="str">
        <x:v>绝缘套管及线号配套</x:v>
      </x:c>
      <x:c r="C54" s="12" t="str">
        <x:v>电气</x:v>
      </x:c>
      <x:c r="D54" s="12" t="str">
        <x:v>永久线号、绝缘套管配套</x:v>
      </x:c>
      <x:c r="E54" s="12" t="str">
        <x:v>A01</x:v>
      </x:c>
      <x:c r="F54" s="12" t="n">
        <x:v>1</x:v>
      </x:c>
      <x:c r="G54" s="12" t="str">
        <x:v>套</x:v>
      </x:c>
      <x:c r="H54" s="12" t="n">
        <x:f>IF(ISBLANK(F54),"",F54*$B$4)</x:f>
        <x:v>1</x:v>
      </x:c>
      <x:c r="I54" s="12" t="str">
        <x:v>E03</x:v>
      </x:c>
      <x:c r="J54" s="12"/>
      <x:c r="K54" s="12" t="str"/>
      <x:c r="L54" s="12" t="str">
        <x:v>W00/W1~W5两端线号、L/N/PE颜色与端子号；按实测裁切热缩或黄腊管，只作附加绝缘。</x:v>
      </x:c>
      <x:c r="M54" s="12" t="str">
        <x:v>数量按接线点配足，不重复采购E11~E14端子或跨接桥；实际套管内径按导体和端头外包确定</x:v>
      </x:c>
      <x:c r="N54" s="12" t="str">
        <x:v>数量按接线点配足，不重复采购E11~E14端子或跨接桥；实际套管内径按导体和端头外包确定</x:v>
      </x:c>
    </x:row>
    <x:row r="55" ht="54" hidden="0" customHeight="1">
      <x:c r="A55" s="11" t="str">
        <x:v>E15</x:v>
      </x:c>
      <x:c r="B55" s="11" t="str">
        <x:v>导轨端挡与绝缘端板</x:v>
      </x:c>
      <x:c r="C55" s="11" t="str">
        <x:v>电气</x:v>
      </x:c>
      <x:c r="D55" s="11" t="str">
        <x:v>WAGO210-112导轨、249-116端挡2只、2002-1291端/隔板3只</x:v>
      </x:c>
      <x:c r="E55" s="11" t="str">
        <x:v>A01</x:v>
      </x:c>
      <x:c r="F55" s="11" t="n">
        <x:v>1</x:v>
      </x:c>
      <x:c r="G55" s="11" t="str">
        <x:v>套</x:v>
      </x:c>
      <x:c r="H55" s="11" t="n">
        <x:f>IF(ISBLANK(F55),"",F55*$B$4)</x:f>
        <x:v>1</x:v>
      </x:c>
      <x:c r="I55" s="11" t="str">
        <x:v>E03</x:v>
      </x:c>
      <x:c r="J55" s="11"/>
      <x:c r="K55" s="11" t="str"/>
      <x:c r="L55" s="11" t="str">
        <x:v>DIN35×7.5长150；19端子宽98.8＋端挡2×6＋隔板3×0.8＝113.2，轨两端各余18.4；箱内排序见terminalLayout。 定型210-112为35×7.5、T1、EN60715；采购2m一支截150，腰宽/R/槽孔模板仍按厂家实物。</x:v>
      </x:c>
      <x:c r="M55" s="11" t="str">
        <x:v>端挡2、L/N/PE每组闭合侧各1板；导轨须连续并与PE端子可靠连接；不把端挡当接地件</x:v>
      </x:c>
      <x:c r="N55" s="11" t="str">
        <x:v>端挡2、L/N/PE每组闭合侧各1板；导轨须连续并与PE端子可靠连接；不把端挡当接地件</x:v>
      </x:c>
    </x:row>
    <x:row r="56" ht="54" hidden="0" customHeight="1">
      <x:c r="A56" s="12" t="str">
        <x:v>E16</x:v>
      </x:c>
      <x:c r="B56" s="12" t="str">
        <x:v>金属件保护连接配套</x:v>
      </x:c>
      <x:c r="C56" s="12" t="str">
        <x:v>电气</x:v>
      </x:c>
      <x:c r="D56" s="12" t="str">
        <x:v>固定钢组/三梁/两门7条黄绿2.5mm²跨接与端头紧固包</x:v>
      </x:c>
      <x:c r="E56" s="12" t="str">
        <x:v>A01</x:v>
      </x:c>
      <x:c r="F56" s="12" t="n">
        <x:v>1</x:v>
      </x:c>
      <x:c r="G56" s="12" t="str">
        <x:v>套</x:v>
      </x:c>
      <x:c r="H56" s="12" t="n">
        <x:f>IF(ISBLANK(F56),"",F56*$B$4)</x:f>
        <x:v>1</x:v>
      </x:c>
      <x:c r="I56" s="12" t="str">
        <x:v>E03</x:v>
      </x:c>
      <x:c r="J56" s="12"/>
      <x:c r="K56" s="12" t="str"/>
      <x:c r="L56" s="12" t="str">
        <x:v>7条线分别为XPE6→PE0、PE0→焊接主框架、其余3根螺接梁→主框架、两活动门→主框架；JST FV2-5 11只、FV2-4 2只，WAGO侧1端用Phoenix3202533（AI2.5-10BU）冷压套管，不另算环端。</x:v>
      </x:c>
      <x:c r="M56" s="12" t="str">
        <x:v>线长待实测；10柱及指定叠层已落钢图，焊接保持力/防松/PE连续性首件核验；与中央E21~E24去重。</x:v>
      </x:c>
      <x:c r="N56" s="12" t="str">
        <x:v>线长待实测；10柱及指定叠层已落钢图，焊接保持力/防松/PE连续性首件核验；与中央E21~E24去重。</x:v>
      </x:c>
    </x:row>
    <x:row r="57" ht="38" hidden="0" customHeight="1">
      <x:c r="A57" s="11" t="str">
        <x:v>E04</x:v>
      </x:c>
      <x:c r="B57" s="11" t="str">
        <x:v>三芯内部分支线束</x:v>
      </x:c>
      <x:c r="C57" s="11" t="str">
        <x:v>补充采购</x:v>
      </x:c>
      <x:c r="D57" s="11" t="str">
        <x:v>3×1.5mm²；W00/W1~W5</x:v>
      </x:c>
      <x:c r="E57" s="11" t="str">
        <x:v>A01</x:v>
      </x:c>
      <x:c r="F57" s="11"/>
      <x:c r="G57" s="11" t="str">
        <x:v>m</x:v>
      </x:c>
      <x:c r="H57" s="11" t="str">
        <x:f>IF(ISBLANK(F57),"",F57*$B$4)</x:f>
      </x:c>
      <x:c r="I57" s="11" t="str">
        <x:v>E01</x:v>
      </x:c>
      <x:c r="J57" s="11"/>
      <x:c r="K57" s="11" t="str"/>
      <x:c r="L57" s="11" t="str">
        <x:v>3×1.5mm²；W00/W1~W5</x:v>
      </x:c>
      <x:c r="M57" s="11" t="str">
        <x:v>W00外径≤8.5且厂家静态弯曲半径≤30；活动段另核；不剪改排插原线</x:v>
      </x:c>
      <x:c r="N57" s="11" t="str">
        <x:v>长度待实测；未填0或估算领料</x:v>
      </x:c>
    </x:row>
    <x:row r="58" ht="38" hidden="0" customHeight="1">
      <x:c r="A58" s="12" t="str">
        <x:v>E05</x:v>
      </x:c>
      <x:c r="B58" s="12" t="str">
        <x:v>桌肚过线保护管</x:v>
      </x:c>
      <x:c r="C58" s="12" t="str">
        <x:v>补充采购</x:v>
      </x:c>
      <x:c r="D58" s="12" t="str">
        <x:v>实际外径≤25；本版过梁层净34</x:v>
      </x:c>
      <x:c r="E58" s="12" t="str">
        <x:v>A01</x:v>
      </x:c>
      <x:c r="F58" s="12"/>
      <x:c r="G58" s="12" t="str">
        <x:v>m</x:v>
      </x:c>
      <x:c r="H58" s="12" t="str">
        <x:f>IF(ISBLANK(F58),"",F58*$B$4)</x:f>
      </x:c>
      <x:c r="I58" s="12" t="str">
        <x:v>E05</x:v>
      </x:c>
      <x:c r="J58" s="12"/>
      <x:c r="K58" s="12" t="str"/>
      <x:c r="L58" s="12" t="str">
        <x:v>实际外径≤25；本版过梁层净34</x:v>
      </x:c>
      <x:c r="M58" s="12" t="str">
        <x:v>源≥25管须核外径，DN25不等于外径25；不进入桌腿</x:v>
      </x:c>
      <x:c r="N58" s="12" t="str">
        <x:v>长度待实测；未填0或估算领料</x:v>
      </x:c>
    </x:row>
    <x:row r="59" ht="38" hidden="0" customHeight="1">
      <x:c r="A59" s="11" t="str">
        <x:v>E17</x:v>
      </x:c>
      <x:c r="B59" s="11" t="str">
        <x:v>进线与线束固定护口配套</x:v>
      </x:c>
      <x:c r="C59" s="11" t="str">
        <x:v>补充采购</x:v>
      </x:c>
      <x:c r="D59" s="11" t="str">
        <x:v>适配线径的成品线夹/防拉脱件</x:v>
      </x:c>
      <x:c r="E59" s="11" t="str">
        <x:v>A01</x:v>
      </x:c>
      <x:c r="F59" s="11" t="n">
        <x:v>1</x:v>
      </x:c>
      <x:c r="G59" s="11" t="str">
        <x:v>套</x:v>
      </x:c>
      <x:c r="H59" s="11" t="n">
        <x:f>IF(ISBLANK(F59),"",F59*$B$4)</x:f>
        <x:v>1</x:v>
      </x:c>
      <x:c r="I59" s="11" t="str">
        <x:v>E04</x:v>
      </x:c>
      <x:c r="J59" s="11"/>
      <x:c r="K59" s="11" t="str"/>
      <x:c r="L59" s="11" t="str">
        <x:v>适配线径的成品线夹/防拉脱件</x:v>
      </x:c>
      <x:c r="M59" s="11" t="str">
        <x:v>X0独立夹护套；后罩/快接不抗拉；不破坏原装护套</x:v>
      </x:c>
      <x:c r="N59" s="11" t="str">
        <x:v>数量与接口已定；产品适用认证/到货模板/实物验收待核</x:v>
      </x:c>
    </x:row>
  </x:sheetData>
  <x:dataValidations count="1">
    <x:dataValidation type="whole" operator="greaterThanOrEqual" sqref="B4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1e71c8452945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48" hidden="0" customWidth="1"/>
    <x:col min="4" max="4" width="12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74" hidden="0" customWidth="1"/>
  </x:cols>
  <x:sheetData>
    <x:row r="1" ht="3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3" t="str">
        <x:v>组合紧固件与接地包拆分</x:v>
      </x:c>
      <x:c r="B2" s="2"/>
      <x:c r="C2" s="2"/>
      <x:c r="D2" s="2"/>
      <x:c r="E2" s="2"/>
      <x:c r="F2" s="2"/>
      <x:c r="G2" s="2"/>
      <x:c r="H2" s="2"/>
      <x:c r="I2" s="2"/>
    </x:row>
    <x:row r="3" ht="38" customHeight="1">
      <x:c r="A3" s="2" t="str">
        <x:v>HW73005-L2000　R03　核对日期 2026-10-01　成型深化稿，未生产放行</x:v>
      </x:c>
      <x:c r="B3" s="2"/>
      <x:c r="C3" s="2"/>
      <x:c r="D3" s="2"/>
      <x:c r="E3" s="2"/>
      <x:c r="F3" s="2"/>
      <x:c r="G3" s="2"/>
      <x:c r="H3" s="2"/>
      <x:c r="I3" s="2"/>
    </x:row>
    <x:row r="4" ht="38" customHeight="1">
      <x:c r="A4" s="2" t="str">
        <x:v>本批桌数</x:v>
      </x:c>
      <x:c r="B4" s="14" t="n">
        <x:f>'采购总表'!$B$4</x:f>
        <x:v>1</x:v>
      </x:c>
      <x:c r="C4" s="2"/>
      <x:c r="D4" s="2"/>
      <x:c r="E4" s="2"/>
      <x:c r="F4" s="2"/>
      <x:c r="G4" s="2"/>
      <x:c r="H4" s="2"/>
      <x:c r="I4" s="2"/>
    </x:row>
    <x:row r="5" ht="38" customHeight="1">
      <x:c r="A5" s="6" t="str">
        <x:v>本表子项已包含在采购总表父级内，不能与父级套件叠加计数；建议包数只在包装量已知时计算。</x:v>
      </x:c>
      <x:c r="B5" s="2"/>
      <x:c r="C5" s="2"/>
      <x:c r="D5" s="2"/>
      <x:c r="E5" s="2"/>
      <x:c r="F5" s="2"/>
      <x:c r="G5" s="2"/>
      <x:c r="H5" s="2"/>
      <x:c r="I5" s="2"/>
    </x:row>
    <x:row r="6" ht="38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2" customHeight="1">
      <x:c r="A7" s="10" t="str">
        <x:v>子项编号</x:v>
      </x:c>
      <x:c r="B7" s="10" t="str">
        <x:v>父级套件</x:v>
      </x:c>
      <x:c r="C7" s="10" t="str">
        <x:v>独立采购规格</x:v>
      </x:c>
      <x:c r="D7" s="10" t="str">
        <x:v>每桌用量</x:v>
      </x:c>
      <x:c r="E7" s="10" t="str">
        <x:v>单位</x:v>
      </x:c>
      <x:c r="F7" s="10" t="str">
        <x:v>本批用量</x:v>
      </x:c>
      <x:c r="G7" s="10" t="str">
        <x:v>每包装量</x:v>
      </x:c>
      <x:c r="H7" s="10" t="str">
        <x:v>建议包数</x:v>
      </x:c>
      <x:c r="I7" s="10" t="str">
        <x:v>计数 / 裁切说明</x:v>
      </x:c>
    </x:row>
    <x:row r="8" ht="38" hidden="0" customHeight="1">
      <x:c r="A8" s="12" t="str">
        <x:v>H05.1</x:v>
      </x:c>
      <x:c r="B8" s="12" t="str">
        <x:v>H05</x:v>
      </x:c>
      <x:c r="C8" s="12" t="str">
        <x:v>LP332</x:v>
      </x:c>
      <x:c r="D8" s="12" t="n">
        <x:v>4</x:v>
      </x:c>
      <x:c r="E8" s="12" t="str">
        <x:v>只</x:v>
      </x:c>
      <x:c r="F8" s="12" t="n">
        <x:f>IF(ISBLANK(D8),"",D8*$B$4)</x:f>
        <x:v>4</x:v>
      </x:c>
      <x:c r="G8" s="12"/>
      <x:c r="H8" s="12" t="str">
        <x:f>IF(OR(ISBLANK(D8),ISBLANK(G8)),"",ROUNDUP(F8/G8,0))</x:f>
      </x:c>
      <x:c r="I8" s="12" t="str">
        <x:v>每套2×2套；；；</x:v>
      </x:c>
    </x:row>
    <x:row r="9" ht="38" hidden="0" customHeight="1">
      <x:c r="A9" s="11" t="str">
        <x:v>H12.1</x:v>
      </x:c>
      <x:c r="B9" s="11" t="str">
        <x:v>H12</x:v>
      </x:c>
      <x:c r="C9" s="11" t="str">
        <x:v>PPH7985H-M3-8-A2</x:v>
      </x:c>
      <x:c r="D9" s="11" t="n">
        <x:v>16</x:v>
      </x:c>
      <x:c r="E9" s="11" t="str">
        <x:v>只</x:v>
      </x:c>
      <x:c r="F9" s="11" t="n">
        <x:f>IF(ISBLANK(D9),"",D9*$B$4)</x:f>
        <x:v>16</x:v>
      </x:c>
      <x:c r="G9" s="11" t="n">
        <x:v>1</x:v>
      </x:c>
      <x:c r="H9" s="11" t="n">
        <x:f>IF(OR(ISBLANK(D9),ISBLANK(G9)),"",ROUNDUP(F9/G9,0))</x:f>
        <x:v>16</x:v>
      </x:c>
      <x:c r="I9" s="11" t="str">
        <x:v>每套1×16套；；；</x:v>
      </x:c>
    </x:row>
    <x:row r="10" ht="38" hidden="0" customHeight="1">
      <x:c r="A10" s="12" t="str">
        <x:v>H12.2</x:v>
      </x:c>
      <x:c r="B10" s="12" t="str">
        <x:v>H12</x:v>
      </x:c>
      <x:c r="C10" s="12" t="str">
        <x:v>WA125-M3-A2 / T0.5</x:v>
      </x:c>
      <x:c r="D10" s="12" t="n">
        <x:v>16</x:v>
      </x:c>
      <x:c r="E10" s="12" t="str">
        <x:v>只</x:v>
      </x:c>
      <x:c r="F10" s="12" t="n">
        <x:f>IF(ISBLANK(D10),"",D10*$B$4)</x:f>
        <x:v>16</x:v>
      </x:c>
      <x:c r="G10" s="12" t="n">
        <x:v>1</x:v>
      </x:c>
      <x:c r="H10" s="12" t="n">
        <x:f>IF(OR(ISBLANK(D10),ISBLANK(G10)),"",ROUNDUP(F10/G10,0))</x:f>
        <x:v>16</x:v>
      </x:c>
      <x:c r="I10" s="12" t="str">
        <x:v>每套1×16套；；；</x:v>
      </x:c>
    </x:row>
    <x:row r="11" ht="38" hidden="0" customHeight="1">
      <x:c r="A11" s="11" t="str">
        <x:v>H12.3</x:v>
      </x:c>
      <x:c r="B11" s="11" t="str">
        <x:v>H12</x:v>
      </x:c>
      <x:c r="C11" s="11" t="str">
        <x:v>DIN985M3 A2</x:v>
      </x:c>
      <x:c r="D11" s="11" t="n">
        <x:v>16</x:v>
      </x:c>
      <x:c r="E11" s="11" t="str">
        <x:v>只</x:v>
      </x:c>
      <x:c r="F11" s="11" t="n">
        <x:f>IF(ISBLANK(D11),"",D11*$B$4)</x:f>
        <x:v>16</x:v>
      </x:c>
      <x:c r="G11" s="11" t="n">
        <x:v>10</x:v>
      </x:c>
      <x:c r="H11" s="11" t="n">
        <x:f>IF(OR(ISBLANK(D11),ISBLANK(G11)),"",ROUNDUP(F11/G11,0))</x:f>
        <x:v>2</x:v>
      </x:c>
      <x:c r="I11" s="11" t="str">
        <x:v>每套1×16套；；；</x:v>
      </x:c>
    </x:row>
    <x:row r="12" ht="38" hidden="0" customHeight="1">
      <x:c r="A12" s="12" t="str">
        <x:v>H15.1</x:v>
      </x:c>
      <x:c r="B12" s="12" t="str">
        <x:v>H15</x:v>
      </x:c>
      <x:c r="C12" s="12" t="str">
        <x:v>DIN912 M6×20 12.9镀锌</x:v>
      </x:c>
      <x:c r="D12" s="12" t="n">
        <x:v>16</x:v>
      </x:c>
      <x:c r="E12" s="12" t="str">
        <x:v>只</x:v>
      </x:c>
      <x:c r="F12" s="12" t="n">
        <x:f>IF(ISBLANK(D12),"",D12*$B$4)</x:f>
        <x:v>16</x:v>
      </x:c>
      <x:c r="G12" s="12"/>
      <x:c r="H12" s="12" t="str">
        <x:f>IF(OR(ISBLANK(D12),ISBLANK(G12)),"",ROUNDUP(F12/G12,0))</x:f>
      </x:c>
      <x:c r="I12" s="12" t="str">
        <x:v>每套1×16套；；；</x:v>
      </x:c>
    </x:row>
    <x:row r="13" ht="38" hidden="0" customHeight="1">
      <x:c r="A13" s="11" t="str">
        <x:v>H15.2</x:v>
      </x:c>
      <x:c r="B13" s="11" t="str">
        <x:v>H15</x:v>
      </x:c>
      <x:c r="C13" s="11" t="str">
        <x:v>29733 / M6 T1.6</x:v>
      </x:c>
      <x:c r="D13" s="11" t="n">
        <x:v>16</x:v>
      </x:c>
      <x:c r="E13" s="11" t="str">
        <x:v>只</x:v>
      </x:c>
      <x:c r="F13" s="11" t="n">
        <x:f>IF(ISBLANK(D13),"",D13*$B$4)</x:f>
        <x:v>16</x:v>
      </x:c>
      <x:c r="G13" s="11" t="n">
        <x:v>1</x:v>
      </x:c>
      <x:c r="H13" s="11" t="n">
        <x:f>IF(OR(ISBLANK(D13),ISBLANK(G13)),"",ROUNDUP(F13/G13,0))</x:f>
        <x:v>16</x:v>
      </x:c>
      <x:c r="I13" s="11" t="str">
        <x:v>每套1×16套；；；</x:v>
      </x:c>
    </x:row>
    <x:row r="14" ht="38" hidden="0" customHeight="1">
      <x:c r="A14" s="12" t="str">
        <x:v>H17.1</x:v>
      </x:c>
      <x:c r="B14" s="12" t="str">
        <x:v>H17</x:v>
      </x:c>
      <x:c r="C14" s="12" t="str">
        <x:v>W4631 / DIN912 M4×25</x:v>
      </x:c>
      <x:c r="D14" s="12" t="n">
        <x:v>8</x:v>
      </x:c>
      <x:c r="E14" s="12" t="str">
        <x:v>只</x:v>
      </x:c>
      <x:c r="F14" s="12" t="n">
        <x:f>IF(ISBLANK(D14),"",D14*$B$4)</x:f>
        <x:v>8</x:v>
      </x:c>
      <x:c r="G14" s="12" t="n">
        <x:v>50</x:v>
      </x:c>
      <x:c r="H14" s="12" t="n">
        <x:f>IF(OR(ISBLANK(D14),ISBLANK(G14)),"",ROUNDUP(F14/G14,0))</x:f>
        <x:v>1</x:v>
      </x:c>
      <x:c r="I14" s="12" t="str">
        <x:v>每套1×8套；；；</x:v>
      </x:c>
    </x:row>
    <x:row r="15" ht="38" hidden="0" customHeight="1">
      <x:c r="A15" s="11" t="str">
        <x:v>H17.2</x:v>
      </x:c>
      <x:c r="B15" s="11" t="str">
        <x:v>H17</x:v>
      </x:c>
      <x:c r="C15" s="11" t="str">
        <x:v>125Z04 / M4 T0.8</x:v>
      </x:c>
      <x:c r="D15" s="11" t="n">
        <x:v>8</x:v>
      </x:c>
      <x:c r="E15" s="11" t="str">
        <x:v>只</x:v>
      </x:c>
      <x:c r="F15" s="11" t="n">
        <x:f>IF(ISBLANK(D15),"",D15*$B$4)</x:f>
        <x:v>8</x:v>
      </x:c>
      <x:c r="G15" s="11" t="n">
        <x:v>100</x:v>
      </x:c>
      <x:c r="H15" s="11" t="n">
        <x:f>IF(OR(ISBLANK(D15),ISBLANK(G15)),"",ROUNDUP(F15/G15,0))</x:f>
        <x:v>1</x:v>
      </x:c>
      <x:c r="I15" s="11" t="str">
        <x:v>每套1×8套；；；</x:v>
      </x:c>
    </x:row>
    <x:row r="16" ht="38" hidden="0" customHeight="1">
      <x:c r="A16" s="12" t="str">
        <x:v>H24.1</x:v>
      </x:c>
      <x:c r="B16" s="12" t="str">
        <x:v>H24</x:v>
      </x:c>
      <x:c r="C16" s="12" t="str">
        <x:v>PPH7985H-M4-16-A2</x:v>
      </x:c>
      <x:c r="D16" s="12" t="n">
        <x:v>8</x:v>
      </x:c>
      <x:c r="E16" s="12" t="str">
        <x:v>只</x:v>
      </x:c>
      <x:c r="F16" s="12" t="n">
        <x:f>IF(ISBLANK(D16),"",D16*$B$4)</x:f>
        <x:v>8</x:v>
      </x:c>
      <x:c r="G16" s="12" t="n">
        <x:v>1</x:v>
      </x:c>
      <x:c r="H16" s="12" t="n">
        <x:f>IF(OR(ISBLANK(D16),ISBLANK(G16)),"",ROUNDUP(F16/G16,0))</x:f>
        <x:v>8</x:v>
      </x:c>
      <x:c r="I16" s="12" t="str">
        <x:v>每套1×8套；；；</x:v>
      </x:c>
    </x:row>
    <x:row r="17" ht="38" hidden="0" customHeight="1">
      <x:c r="A17" s="11" t="str">
        <x:v>H24.2</x:v>
      </x:c>
      <x:c r="B17" s="11" t="str">
        <x:v>H24</x:v>
      </x:c>
      <x:c r="C17" s="11" t="str">
        <x:v>DIN9021 M4×12×1 A2</x:v>
      </x:c>
      <x:c r="D17" s="11" t="n">
        <x:v>16</x:v>
      </x:c>
      <x:c r="E17" s="11" t="str">
        <x:v>只</x:v>
      </x:c>
      <x:c r="F17" s="11" t="n">
        <x:f>IF(ISBLANK(D17),"",D17*$B$4)</x:f>
        <x:v>16</x:v>
      </x:c>
      <x:c r="G17" s="11" t="n">
        <x:v>200</x:v>
      </x:c>
      <x:c r="H17" s="11" t="n">
        <x:f>IF(OR(ISBLANK(D17),ISBLANK(G17)),"",ROUNDUP(F17/G17,0))</x:f>
        <x:v>1</x:v>
      </x:c>
      <x:c r="I17" s="11" t="str">
        <x:v>每套2×8套；；；</x:v>
      </x:c>
    </x:row>
    <x:row r="18" ht="38" hidden="0" customHeight="1">
      <x:c r="A18" s="12" t="str">
        <x:v>H24.3</x:v>
      </x:c>
      <x:c r="B18" s="12" t="str">
        <x:v>H24</x:v>
      </x:c>
      <x:c r="C18" s="12" t="str">
        <x:v>2121010 / DIN985 M4 A2</x:v>
      </x:c>
      <x:c r="D18" s="12" t="n">
        <x:v>8</x:v>
      </x:c>
      <x:c r="E18" s="12" t="str">
        <x:v>只</x:v>
      </x:c>
      <x:c r="F18" s="12" t="n">
        <x:f>IF(ISBLANK(D18),"",D18*$B$4)</x:f>
        <x:v>8</x:v>
      </x:c>
      <x:c r="G18" s="12" t="n">
        <x:v>1</x:v>
      </x:c>
      <x:c r="H18" s="12" t="n">
        <x:f>IF(OR(ISBLANK(D18),ISBLANK(G18)),"",ROUNDUP(F18/G18,0))</x:f>
        <x:v>8</x:v>
      </x:c>
      <x:c r="I18" s="12" t="str">
        <x:v>每套1×8套；；；</x:v>
      </x:c>
    </x:row>
    <x:row r="19" ht="38" hidden="0" customHeight="1">
      <x:c r="A19" s="11" t="str">
        <x:v>E07.1</x:v>
      </x:c>
      <x:c r="B19" s="11" t="str">
        <x:v>E07</x:v>
      </x:c>
      <x:c r="C19" s="11" t="str">
        <x:v>Hammond1557HA2GY箱体 / 1557HA2GY</x:v>
      </x:c>
      <x:c r="D19" s="11" t="n">
        <x:v>1</x:v>
      </x:c>
      <x:c r="E19" s="11" t="str">
        <x:v>只</x:v>
      </x:c>
      <x:c r="F19" s="11" t="n">
        <x:f>IF(ISBLANK(D19),"",D19*$B$4)</x:f>
        <x:v>1</x:v>
      </x:c>
      <x:c r="G19" s="11"/>
      <x:c r="H19" s="11" t="str">
        <x:f>IF(OR(ISBLANK(D19),ISBLANK(G19)),"",ROUNDUP(F19/G19,0))</x:f>
      </x:c>
      <x:c r="I19" s="11" t="str">
        <x:v>同版电气设计绝对数量；；；200×200×70；含厂家原装外脚配置按到货复核</x:v>
      </x:c>
    </x:row>
    <x:row r="20" ht="38" hidden="0" customHeight="1">
      <x:c r="A20" s="12" t="str">
        <x:v>E07.2</x:v>
      </x:c>
      <x:c r="B20" s="12" t="str">
        <x:v>E07</x:v>
      </x:c>
      <x:c r="C20" s="12" t="str">
        <x:v>Hammond1557HPL内板 / 1557HPL</x:v>
      </x:c>
      <x:c r="D20" s="12" t="n">
        <x:v>1</x:v>
      </x:c>
      <x:c r="E20" s="12" t="str">
        <x:v>块</x:v>
      </x:c>
      <x:c r="F20" s="12" t="n">
        <x:f>IF(ISBLANK(D20),"",D20*$B$4)</x:f>
        <x:v>1</x:v>
      </x:c>
      <x:c r="G20" s="12"/>
      <x:c r="H20" s="12" t="str">
        <x:f>IF(OR(ISBLANK(D20),ISBLANK(G20)),"",ROUNDUP(F20/G20,0))</x:f>
      </x:c>
      <x:c r="I20" s="12" t="str">
        <x:v>同版电气设计绝对数量；；；独立订购，非默认随箱；182×182×2.05，孔距170</x:v>
      </x:c>
    </x:row>
    <x:row r="21" ht="38" hidden="0" customHeight="1">
      <x:c r="A21" s="11" t="str">
        <x:v>E15.1</x:v>
      </x:c>
      <x:c r="B21" s="11" t="str">
        <x:v>E15</x:v>
      </x:c>
      <x:c r="C21" s="11" t="str">
        <x:v>WAGO210-112导轨 / 210-112</x:v>
      </x:c>
      <x:c r="D21" s="11" t="n">
        <x:v>1</x:v>
      </x:c>
      <x:c r="E21" s="11" t="str">
        <x:v>支</x:v>
      </x:c>
      <x:c r="F21" s="11" t="n">
        <x:f>IF(ISBLANK(D21),"",D21*$B$4)</x:f>
        <x:v>1</x:v>
      </x:c>
      <x:c r="G21" s="11"/>
      <x:c r="H21" s="11" t="str">
        <x:f>IF(OR(ISBLANK(D21),ISBLANK(G21)),"",ROUNDUP(F21/G21,0))</x:f>
      </x:c>
      <x:c r="I21" s="11" t="str">
        <x:v>同版电气设计绝对数量；；；原装2m购1支，截150一段装盒，余料留存；成品35×7.5/T1</x:v>
      </x:c>
    </x:row>
    <x:row r="22" ht="38" hidden="0" customHeight="1">
      <x:c r="A22" s="12" t="str">
        <x:v>E15.2</x:v>
      </x:c>
      <x:c r="B22" s="12" t="str">
        <x:v>E15</x:v>
      </x:c>
      <x:c r="C22" s="12" t="str">
        <x:v>WAGO249-116端挡 / 249-116</x:v>
      </x:c>
      <x:c r="D22" s="12" t="n">
        <x:v>2</x:v>
      </x:c>
      <x:c r="E22" s="12" t="str">
        <x:v>只</x:v>
      </x:c>
      <x:c r="F22" s="12" t="n">
        <x:f>IF(ISBLANK(D22),"",D22*$B$4)</x:f>
        <x:v>2</x:v>
      </x:c>
      <x:c r="G22" s="12"/>
      <x:c r="H22" s="12" t="str">
        <x:f>IF(OR(ISBLANK(D22),ISBLANK(G22)),"",ROUNDUP(F22/G22,0))</x:f>
      </x:c>
      <x:c r="I22" s="12" t="str">
        <x:v>同版电气设计绝对数量；；；</x:v>
      </x:c>
    </x:row>
    <x:row r="23" ht="38" hidden="0" customHeight="1">
      <x:c r="A23" s="11" t="str">
        <x:v>E15.3</x:v>
      </x:c>
      <x:c r="B23" s="11" t="str">
        <x:v>E15</x:v>
      </x:c>
      <x:c r="C23" s="11" t="str">
        <x:v>WAGO2002-1291端/隔板 / 2002-1291</x:v>
      </x:c>
      <x:c r="D23" s="11" t="n">
        <x:v>3</x:v>
      </x:c>
      <x:c r="E23" s="11" t="str">
        <x:v>只</x:v>
      </x:c>
      <x:c r="F23" s="11" t="n">
        <x:f>IF(ISBLANK(D23),"",D23*$B$4)</x:f>
        <x:v>3</x:v>
      </x:c>
      <x:c r="G23" s="11"/>
      <x:c r="H23" s="11" t="str">
        <x:f>IF(OR(ISBLANK(D23),ISBLANK(G23)),"",ROUNDUP(F23/G23,0))</x:f>
      </x:c>
      <x:c r="I23" s="11" t="str">
        <x:v>同版电气设计绝对数量；；；</x:v>
      </x:c>
    </x:row>
    <x:row r="24" ht="38" hidden="0" customHeight="1">
      <x:c r="A24" s="12" t="str">
        <x:v>E16.1</x:v>
      </x:c>
      <x:c r="B24" s="12" t="str">
        <x:v>E16</x:v>
      </x:c>
      <x:c r="C24" s="12" t="str">
        <x:v>2.5mm²黄绿铜软线</x:v>
      </x:c>
      <x:c r="D24" s="12" t="n">
        <x:v>7</x:v>
      </x:c>
      <x:c r="E24" s="12" t="str">
        <x:v>条</x:v>
      </x:c>
      <x:c r="F24" s="12" t="n">
        <x:f>IF(ISBLANK(D24),"",D24*$B$4)</x:f>
        <x:v>7</x:v>
      </x:c>
      <x:c r="G24" s="12"/>
      <x:c r="H24" s="12" t="str">
        <x:f>IF(OR(ISBLANK(D24),ISBLANK(G24)),"",ROUNDUP(F24/G24,0))</x:f>
      </x:c>
      <x:c r="I24" s="12" t="str">
        <x:v>同版电气设计绝对数量；每条总长度待实测；；；</x:v>
      </x:c>
    </x:row>
    <x:row r="25" ht="38" hidden="0" customHeight="1">
      <x:c r="A25" s="11" t="str">
        <x:v>E16.2</x:v>
      </x:c>
      <x:c r="B25" s="11" t="str">
        <x:v>E16</x:v>
      </x:c>
      <x:c r="C25" s="11" t="str">
        <x:v>JST FV2-5</x:v>
      </x:c>
      <x:c r="D25" s="11" t="n">
        <x:v>11</x:v>
      </x:c>
      <x:c r="E25" s="11" t="str">
        <x:v>只</x:v>
      </x:c>
      <x:c r="F25" s="11" t="n">
        <x:f>IF(ISBLANK(D25),"",D25*$B$4)</x:f>
        <x:v>11</x:v>
      </x:c>
      <x:c r="G25" s="11"/>
      <x:c r="H25" s="11" t="str">
        <x:f>IF(OR(ISBLANK(D25),ISBLANK(G25)),"",ROUNDUP(F25/G25,0))</x:f>
      </x:c>
      <x:c r="I25" s="11" t="str">
        <x:v>同版电气设计绝对数量；；；</x:v>
      </x:c>
    </x:row>
    <x:row r="26" ht="38" hidden="0" customHeight="1">
      <x:c r="A26" s="12" t="str">
        <x:v>E16.3</x:v>
      </x:c>
      <x:c r="B26" s="12" t="str">
        <x:v>E16</x:v>
      </x:c>
      <x:c r="C26" s="12" t="str">
        <x:v>JST FV2-4</x:v>
      </x:c>
      <x:c r="D26" s="12" t="n">
        <x:v>2</x:v>
      </x:c>
      <x:c r="E26" s="12" t="str">
        <x:v>只</x:v>
      </x:c>
      <x:c r="F26" s="12" t="n">
        <x:f>IF(ISBLANK(D26),"",D26*$B$4)</x:f>
        <x:v>2</x:v>
      </x:c>
      <x:c r="G26" s="12"/>
      <x:c r="H26" s="12" t="str">
        <x:f>IF(OR(ISBLANK(D26),ISBLANK(G26)),"",ROUNDUP(F26/G26,0))</x:f>
      </x:c>
      <x:c r="I26" s="12" t="str">
        <x:v>同版电气设计绝对数量；；；</x:v>
      </x:c>
    </x:row>
    <x:row r="27" ht="38" hidden="0" customHeight="1">
      <x:c r="A27" s="11" t="str">
        <x:v>E16.4</x:v>
      </x:c>
      <x:c r="B27" s="11" t="str">
        <x:v>E16</x:v>
      </x:c>
      <x:c r="C27" s="11" t="str">
        <x:v>门PE M4×10/平垫/齿垫/防松螺母</x:v>
      </x:c>
      <x:c r="D27" s="11" t="n">
        <x:v>2</x:v>
      </x:c>
      <x:c r="E27" s="11" t="str">
        <x:v>套</x:v>
      </x:c>
      <x:c r="F27" s="11" t="n">
        <x:f>IF(ISBLANK(D27),"",D27*$B$4)</x:f>
        <x:v>2</x:v>
      </x:c>
      <x:c r="G27" s="11"/>
      <x:c r="H27" s="11" t="str">
        <x:f>IF(OR(ISBLANK(D27),ISBLANK(G27)),"",ROUNDUP(F27/G27,0))</x:f>
      </x:c>
      <x:c r="I27" s="11" t="str">
        <x:v>同版电气设计绝对数量；；；</x:v>
      </x:c>
    </x:row>
    <x:row r="28" ht="38" hidden="0" customHeight="1">
      <x:c r="A28" s="12" t="str">
        <x:v>E16.5</x:v>
      </x:c>
      <x:c r="B28" s="12" t="str">
        <x:v>E16</x:v>
      </x:c>
      <x:c r="C28" s="12" t="str">
        <x:v>Phoenix AI2.5-10BU / 3202533</x:v>
      </x:c>
      <x:c r="D28" s="12" t="n">
        <x:v>1</x:v>
      </x:c>
      <x:c r="E28" s="12" t="str">
        <x:v>只</x:v>
      </x:c>
      <x:c r="F28" s="12" t="n">
        <x:f>IF(ISBLANK(D28),"",D28*$B$4)</x:f>
        <x:v>1</x:v>
      </x:c>
      <x:c r="G28" s="12"/>
      <x:c r="H28" s="12" t="str">
        <x:f>IF(OR(ISBLANK(D28),ISBLANK(G28)),"",ROUNDUP(F28/G28,0))</x:f>
      </x:c>
      <x:c r="I28" s="12" t="str">
        <x:v>同版电气设计绝对数量；；；接XPE6，金属夹持段10；线材剥线按端头/端子联合说明，不浸锡</x:v>
      </x:c>
    </x:row>
    <x:row r="29" ht="38" hidden="0" customHeight="1">
      <x:c r="A29" s="11" t="str">
        <x:v>E16.6</x:v>
      </x:c>
      <x:c r="B29" s="11" t="str">
        <x:v>E16</x:v>
      </x:c>
      <x:c r="C29" s="11" t="str">
        <x:v>ISO13918 PT M5×20钢4.8镀铜焊柱 / ATS015 1105020</x:v>
      </x:c>
      <x:c r="D29" s="11" t="n">
        <x:v>10</x:v>
      </x:c>
      <x:c r="E29" s="11" t="str">
        <x:v>只</x:v>
      </x:c>
      <x:c r="F29" s="11" t="n">
        <x:f>IF(ISBLANK(D29),"",D29*$B$4)</x:f>
        <x:v>10</x:v>
      </x:c>
      <x:c r="G29" s="11"/>
      <x:c r="H29" s="11" t="str">
        <x:f>IF(OR(ISBLANK(D29),ISBLANK(G29)),"",ROUNDUP(F29/G29,0))</x:f>
      </x:c>
      <x:c r="I29" s="11" t="str">
        <x:v>同版电气设计绝对数量；；Vital Parts WELD13918-M5-20-COP，同标准须核焊接适用性；</x:v>
      </x:c>
    </x:row>
    <x:row r="30" ht="38" hidden="0" customHeight="1">
      <x:c r="A30" s="12" t="str">
        <x:v>E16.7</x:v>
      </x:c>
      <x:c r="B30" s="12" t="str">
        <x:v>E16</x:v>
      </x:c>
      <x:c r="C30" s="12" t="str">
        <x:v>DIN6797A M5外齿垫 / Würth04310215</x:v>
      </x:c>
      <x:c r="D30" s="12" t="n">
        <x:v>10</x:v>
      </x:c>
      <x:c r="E30" s="12" t="str">
        <x:v>只</x:v>
      </x:c>
      <x:c r="F30" s="12" t="n">
        <x:f>IF(ISBLANK(D30),"",D30*$B$4)</x:f>
        <x:v>10</x:v>
      </x:c>
      <x:c r="G30" s="12"/>
      <x:c r="H30" s="12" t="str">
        <x:f>IF(OR(ISBLANK(D30),ISBLANK(G30)),"",ROUNDUP(F30/G30,0))</x:f>
      </x:c>
      <x:c r="I30" s="12" t="str">
        <x:v>同版电气设计绝对数量；内5.3/外10/未压高1.2/料厚0.6；；</x:v>
      </x:c>
    </x:row>
    <x:row r="31" ht="38" hidden="0" customHeight="1">
      <x:c r="A31" s="11" t="str">
        <x:v>E16.8</x:v>
      </x:c>
      <x:c r="B31" s="11" t="str">
        <x:v>E16</x:v>
      </x:c>
      <x:c r="C31" s="11" t="str">
        <x:v>ISO7089 M5平垫 / Würth46418185</x:v>
      </x:c>
      <x:c r="D31" s="11" t="n">
        <x:v>10</x:v>
      </x:c>
      <x:c r="E31" s="11" t="str">
        <x:v>只</x:v>
      </x:c>
      <x:c r="F31" s="11" t="n">
        <x:f>IF(ISBLANK(D31),"",D31*$B$4)</x:f>
        <x:v>10</x:v>
      </x:c>
      <x:c r="G31" s="11"/>
      <x:c r="H31" s="11" t="str">
        <x:f>IF(OR(ISBLANK(D31),ISBLANK(G31)),"",ROUNDUP(F31/G31,0))</x:f>
      </x:c>
      <x:c r="I31" s="11" t="str">
        <x:v>同版电气设计绝对数量；内5.3/外10/厚1.0；；</x:v>
      </x:c>
    </x:row>
    <x:row r="32" ht="38" hidden="0" customHeight="1">
      <x:c r="A32" s="12" t="str">
        <x:v>E16.9</x:v>
      </x:c>
      <x:c r="B32" s="12" t="str">
        <x:v>E16</x:v>
      </x:c>
      <x:c r="C32" s="12" t="str">
        <x:v>DIN985 M5防松螺母 / Würth03975</x:v>
      </x:c>
      <x:c r="D32" s="12" t="n">
        <x:v>10</x:v>
      </x:c>
      <x:c r="E32" s="12" t="str">
        <x:v>只</x:v>
      </x:c>
      <x:c r="F32" s="12" t="n">
        <x:f>IF(ISBLANK(D32),"",D32*$B$4)</x:f>
        <x:v>10</x:v>
      </x:c>
      <x:c r="G32" s="12"/>
      <x:c r="H32" s="12" t="str">
        <x:f>IF(OR(ISBLANK(D32),ISBLANK(G32)),"",ROUNDUP(F32/G32,0))</x:f>
      </x:c>
      <x:c r="I32" s="12" t="str">
        <x:v>同版电气设计绝对数量；高5.0/对边8；；</x:v>
      </x:c>
    </x:row>
    <x:row r="33" ht="38" hidden="0" customHeight="1">
      <x:c r="A33" s="11" t="str">
        <x:v>H21.stock</x:v>
      </x:c>
      <x:c r="B33" s="11" t="str">
        <x:v>H21</x:v>
      </x:c>
      <x:c r="C33" s="11" t="str">
        <x:v>100191 / EAN4260627935185 / 200×300片材</x:v>
      </x:c>
      <x:c r="D33" s="11" t="n">
        <x:v>1</x:v>
      </x:c>
      <x:c r="E33" s="11" t="str">
        <x:v>片材</x:v>
      </x:c>
      <x:c r="F33" s="11" t="n">
        <x:f>IF(ISBLANK(D33),"",D33*$B$4)</x:f>
        <x:v>1</x:v>
      </x:c>
      <x:c r="G33" s="11" t="n">
        <x:v>1</x:v>
      </x:c>
      <x:c r="H33" s="11" t="n">
        <x:f>IF(OR(ISBLANK(D33),ISBLANK(G33)),"",ROUNDUP(F33/G33,0))</x:f>
        <x:v>1</x:v>
      </x:c>
      <x:c r="I33" s="11" t="str">
        <x:v>每桌8片24×12软垫从1片标准片材裁出；按每桌1片保守备料，不把8片小垫当8整张。不自动跨桌优化余料。</x:v>
      </x:c>
    </x:row>
  </x:sheetData>
  <x:pageMargins left="0.7" right="0.7" top="0.75" bottom="0.75" header="0.3" footer="0.3"/>
  <x:tableParts count="1">
    <x:tablePart xmlns:r="http://schemas.openxmlformats.org/officeDocument/2006/relationships" r:id="Rcca9cb62e4da4810"/>
  </x:tableParts>
</x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xSplit="2" ySplit="7" topLeftCell="C8" activePane="bottomRight" state="frozen"/>
    </ns0:sheetView>
  </ns0:sheetViews>
  <ns0:sheetFormatPr defaultRowHeight="15"/>
  <ns0:cols>
    <ns0:col min="1" max="1" width="16" hidden="0" customWidth="1"/>
    <ns0:col min="2" max="2" width="21" hidden="0" customWidth="1"/>
    <ns0:col min="3" max="3" width="45" hidden="0" customWidth="1"/>
    <ns0:col min="4" max="4" width="73" hidden="0" customWidth="1"/>
    <ns0:col min="5" max="5" width="100" hidden="0" customWidth="1"/>
  </ns0:cols>
  <ns0:sheetData>
    <ns0:row r="1" ht="38" customHeight="1">
      <ns0:c r="A1" s="2"/>
      <ns0:c r="B1" s="2"/>
      <ns0:c r="C1" s="2"/>
      <ns0:c r="D1" s="2"/>
      <ns0:c r="E1" s="2"/>
    </ns0:row>
    <ns0:row r="2" ht="38" customHeight="1">
      <ns0:c r="A2" s="3" t="str">
        <ns0:v>厂家技术依据与购买页面</ns0:v>
      </ns0:c>
      <ns0:c r="B2" s="2"/>
      <ns0:c r="C2" s="2"/>
      <ns0:c r="D2" s="2"/>
      <ns0:c r="E2" s="2"/>
    </ns0:row>
    <ns0:row r="3" ht="38" customHeight="1">
      <ns0:c r="A3" s="2" t="str">
        <ns0:v>HW73005-L2000　R03　核对日期 2026-10-01　成型深化稿，未生产放行</ns0:v>
      </ns0:c>
      <ns0:c r="B3" s="2"/>
      <ns0:c r="C3" s="2"/>
      <ns0:c r="D3" s="2"/>
      <ns0:c r="E3" s="2"/>
    </ns0:row>
    <ns0:row r="4" ht="38" customHeight="1">
      <ns0:c r="A4" s="2" t="str">
        <ns0:v>本批桌数</ns0:v>
      </ns0:c>
      <ns0:c r="B4" s="14" t="n">
        <ns0:f>'采购总表'!$B$4</ns0:f>
        <ns0:v>1</ns0:v>
      </ns0:c>
      <ns0:c r="C4" s="2"/>
      <ns0:c r="D4" s="2"/>
      <ns0:c r="E4" s="2"/>
    </ns0:row>
    <ns0:row r="5" ht="38" customHeight="1">
      <ns0:c r="A5" s="6" t="str">
        <ns0:v>技术来源用于型号/尺寸核对，购买页面用于采购入口；官方首页入口不等同现货。仅有技术链接的条目仍需锁定购买SKU。</ns0:v>
      </ns0:c>
      <ns0:c r="B5" s="2"/>
      <ns0:c r="C5" s="2"/>
      <ns0:c r="D5" s="2"/>
      <ns0:c r="E5" s="2"/>
    </ns0:row>
    <ns0:row r="6" ht="38" customHeight="1">
      <ns0:c r="A6" s="2"/>
      <ns0:c r="B6" s="2"/>
      <ns0:c r="C6" s="2"/>
      <ns0:c r="D6" s="2"/>
      <ns0:c r="E6" s="2"/>
    </ns0:row>
    <ns0:row r="7" ht="32" customHeight="1">
      <ns0:c r="A7" s="10" t="str">
        <ns0:v>对应编号</ns0:v>
      </ns0:c>
      <ns0:c r="B7" s="10" t="str">
        <ns0:v>来源类型</ns0:v>
      </ns0:c>
      <ns0:c r="C7" s="10" t="str">
        <ns0:v>可点击链接</ns0:v>
      </ns0:c>
      <ns0:c r="D7" s="10" t="str">
        <ns0:v>已核事实 / 边界</ns0:v>
      </ns0:c>
      <ns0:c r="E7" s="10" t="str">
        <ns0:v>完整URL（复制用）</ns0:v>
      </ns0:c>
    </ns0:row>
    <ns0:row r="8" ht="38" hidden="0" customHeight="1">
      <ns0:c r="A8" s="12" t="str">
        <ns0:v>H01</ns0:v>
      </ns0:c>
      <ns0:c r="B8" s="12" t="str">
        <ns0:v>技术依据</ns0:v>
      </ns0:c>
      <ns0:c r="C8" s="15" t="str">
        <ns0:v>打开 global.sugatsune.com</ns0:v>
      </ns0:c>
      <ns0:c r="D8" s="12" t="str">
        <ns0:v>PDF第22页（目录页662）</ns0:v>
      </ns0:c>
      <ns0:c r="E8" s="12" t="str">
        <ns0:v>https://global.sugatsune.com/cn/zh-cn/tech/products/22772_t</ns0:v>
      </ns0:c>
    </ns0:row>
    <ns0:row r="9" ht="38" hidden="0" customHeight="1">
      <ns0:c r="A9" s="11" t="str">
        <ns0:v>H01</ns0:v>
      </ns0:c>
      <ns0:c r="B9" s="11" t="str">
        <ns0:v>厂家附加来源</ns0:v>
      </ns0:c>
      <ns0:c r="C9" s="16" t="str">
        <ns0:v>打开 www.sugatsune.com</ns0:v>
      </ns0:c>
      <ns0:c r="D9" s="11" t="str">
        <ns0:v>PDF第22页（目录页662）</ns0:v>
      </ns0:c>
      <ns0:c r="E9" s="11" t="str">
        <ns0:v>https://www.sugatsune.com/content/page-files/product-literature/catalog-201c-641-667-casters-and-leveling-glides.pdf</ns0:v>
      </ns0:c>
    </ns0:row>
    <ns0:row r="10" ht="38" hidden="0" customHeight="1">
      <ns0:c r="A10" s="12" t="str">
        <ns0:v>H01</ns0:v>
      </ns0:c>
      <ns0:c r="B10" s="12" t="str">
        <ns0:v>购买页面</ns0:v>
      </ns0:c>
      <ns0:c r="C10" s="15" t="str">
        <ns0:v>打开 global.sugatsune.com</ns0:v>
      </ns0:c>
      <ns0:c r="D10" s="12" t="str">
        <ns0:v>PDF第22页（目录页662）</ns0:v>
      </ns0:c>
      <ns0:c r="E10" s="12" t="str">
        <ns0:v>https://global.sugatsune.com/cn/zh-cn/tech/products/22772_t</ns0:v>
      </ns0:c>
    </ns0:row>
    <ns0:row r="11" ht="38" hidden="0" customHeight="1">
      <ns0:c r="A11" s="11" t="str">
        <ns0:v>H02</ns0:v>
      </ns0:c>
      <ns0:c r="B11" s="11" t="str">
        <ns0:v>技术依据</ns0:v>
      </ns0:c>
      <ns0:c r="C11" s="16" t="str">
        <ns0:v>打开 www.nufast.co.uk</ns0:v>
      </ns0:c>
      <ns0:c r="D11" s="11" t="str">
        <ns0:v>第1页M8行</ns0:v>
      </ns0:c>
      <ns0:c r="E11" s="11" t="str">
        <ns0:v>https://www.nufast.co.uk/uploads/DIN_929.pdf</ns0:v>
      </ns0:c>
    </ns0:row>
    <ns0:row r="12" ht="38" hidden="0" customHeight="1">
      <ns0:c r="A12" s="12" t="str">
        <ns0:v>H02</ns0:v>
      </ns0:c>
      <ns0:c r="B12" s="12" t="str">
        <ns0:v>厂家附加来源</ns0:v>
      </ns0:c>
      <ns0:c r="C12" s="15" t="str">
        <ns0:v>打开 eshop-sk.boellhoff.com</ns0:v>
      </ns0:c>
      <ns0:c r="D12" s="12" t="str">
        <ns0:v>第1页M8行</ns0:v>
      </ns0:c>
      <ns0:c r="E12" s="12" t="str">
        <ns0:v>https://eshop-sk.boellhoff.com/out/media/pdf/DIN_929_Stahl___en.pdf</ns0:v>
      </ns0:c>
    </ns0:row>
    <ns0:row r="13" ht="38" hidden="0" customHeight="1">
      <ns0:c r="A13" s="11" t="str">
        <ns0:v>H02</ns0:v>
      </ns0:c>
      <ns0:c r="B13" s="11" t="str">
        <ns0:v>购买页面</ns0:v>
      </ns0:c>
      <ns0:c r="C13" s="16" t="str">
        <ns0:v>打开 www.orbitalfasteners.co.uk</ns0:v>
      </ns0:c>
      <ns0:c r="D13" s="11" t="str">
        <ns0:v>第1页M8行</ns0:v>
      </ns0:c>
      <ns0:c r="E13" s="11" t="str">
        <ns0:v>https://www.orbitalfasteners.co.uk/products/m8-mild-steel-hexagon-we-ld-nut-self-colour</ns0:v>
      </ns0:c>
    </ns0:row>
    <ns0:row r="14" ht="38" hidden="0" customHeight="1">
      <ns0:c r="A14" s="12" t="str">
        <ns0:v>H03</ns0:v>
      </ns0:c>
      <ns0:c r="B14" s="12" t="str">
        <ns0:v>技术依据</ns0:v>
      </ns0:c>
      <ns0:c r="C14" s="15" t="str">
        <ns0:v>打开 global.sugatsune.com</ns0:v>
      </ns0:c>
      <ns0:c r="D14" s="12" t="str">
        <ns0:v>第1页下半HG-OTA75</ns0:v>
      </ns0:c>
      <ns0:c r="E14" s="12" t="str">
        <ns0:v>https://global.sugatsune.com/cn/zh-cn/tech/products/21654_t?category=100218</ns0:v>
      </ns0:c>
    </ns0:row>
    <ns0:row r="15" ht="38" hidden="0" customHeight="1">
      <ns0:c r="A15" s="11" t="str">
        <ns0:v>H03</ns0:v>
      </ns0:c>
      <ns0:c r="B15" s="11" t="str">
        <ns0:v>厂家附加来源</ns0:v>
      </ns0:c>
      <ns0:c r="C15" s="16" t="str">
        <ns0:v>打开 www.sugatsune.com</ns0:v>
      </ns0:c>
      <ns0:c r="D15" s="11" t="str">
        <ns0:v>第1页下半HG-OTA75</ns0:v>
      </ns0:c>
      <ns0:c r="E15" s="11" t="str">
        <ns0:v>https://www.sugatsune.com/content/site-assets/501_PDF/HG-OT.pdf</ns0:v>
      </ns0:c>
    </ns0:row>
    <ns0:row r="16" ht="38" hidden="0" customHeight="1">
      <ns0:c r="A16" s="12" t="str">
        <ns0:v>H03</ns0:v>
      </ns0:c>
      <ns0:c r="B16" s="12" t="str">
        <ns0:v>购买页面</ns0:v>
      </ns0:c>
      <ns0:c r="C16" s="15" t="str">
        <ns0:v>打开 global.sugatsune.com</ns0:v>
      </ns0:c>
      <ns0:c r="D16" s="12" t="str">
        <ns0:v>第1页下半HG-OTA75</ns0:v>
      </ns0:c>
      <ns0:c r="E16" s="12" t="str">
        <ns0:v>https://global.sugatsune.com/cn/zh-cn/tech/products/21654_t?category=100218</ns0:v>
      </ns0:c>
    </ns0:row>
    <ns0:row r="17" ht="38" hidden="0" customHeight="1">
      <ns0:c r="A17" s="11" t="str">
        <ns0:v>H04</ns0:v>
      </ns0:c>
      <ns0:c r="B17" s="11" t="str">
        <ns0:v>技术依据</ns0:v>
      </ns0:c>
      <ns0:c r="C17" s="16" t="str">
        <ns0:v>打开 www.hengzhu.com</ns0:v>
      </ns0:c>
      <ns0:c r="D17" s="11" t="str">
        <ns0:v>官方当前尺寸图上半MS705-1-1</ns0:v>
      </ns0:c>
      <ns0:c r="E17" s="11" t="str">
        <ns0:v>https://www.hengzhu.com/cn/product/587/Locks/MS705</ns0:v>
      </ns0:c>
    </ns0:row>
    <ns0:row r="18" ht="38" hidden="0" customHeight="1">
      <ns0:c r="A18" s="12" t="str">
        <ns0:v>H04</ns0:v>
      </ns0:c>
      <ns0:c r="B18" s="12" t="str">
        <ns0:v>厂家附加来源</ns0:v>
      </ns0:c>
      <ns0:c r="C18" s="15" t="str">
        <ns0:v>打开 www.hengzhu.com</ns0:v>
      </ns0:c>
      <ns0:c r="D18" s="12" t="str">
        <ns0:v>官方当前尺寸图上半MS705-1-1</ns0:v>
      </ns0:c>
      <ns0:c r="E18" s="12" t="str">
        <ns0:v>https://www.hengzhu.com/upload/image/20250827/1756267038328022627.jpg</ns0:v>
      </ns0:c>
    </ns0:row>
    <ns0:row r="19" ht="38" hidden="0" customHeight="1">
      <ns0:c r="A19" s="11" t="str">
        <ns0:v>H04</ns0:v>
      </ns0:c>
      <ns0:c r="B19" s="11" t="str">
        <ns0:v>购买页面</ns0:v>
      </ns0:c>
      <ns0:c r="C19" s="16" t="str">
        <ns0:v>打开 www.hengzhu.com</ns0:v>
      </ns0:c>
      <ns0:c r="D19" s="11" t="str">
        <ns0:v>官方当前尺寸图上半MS705-1-1</ns0:v>
      </ns0:c>
      <ns0:c r="E19" s="11" t="str">
        <ns0:v>https://www.hengzhu.com/cn/static/mall-shop</ns0:v>
      </ns0:c>
    </ns0:row>
    <ns0:row r="20" ht="38" hidden="0" customHeight="1">
      <ns0:c r="A20" s="12" t="str">
        <ns0:v>H05</ns0:v>
      </ns0:c>
      <ns0:c r="B20" s="12" t="str">
        <ns0:v>技术依据</ns0:v>
      </ns0:c>
      <ns0:c r="C20" s="15" t="str">
        <ns0:v>打开 www.lulian.cn</ns0:v>
      </ns0:c>
      <ns0:c r="D20" s="12" t="str">
        <ns0:v>不把包装尺寸充当外形；承载额定、装配外包、店铺实时库存未核。</ns0:v>
      </ns0:c>
      <ns0:c r="E20" s="12" t="str">
        <ns0:v>https://www.lulian.cn/product/751-cn.html</ns0:v>
      </ns0:c>
    </ns0:row>
    <ns0:row r="21" ht="38" hidden="0" customHeight="1">
      <ns0:c r="A21" s="11" t="str">
        <ns0:v>H05</ns0:v>
      </ns0:c>
      <ns0:c r="B21" s="11" t="str">
        <ns0:v>购买页面</ns0:v>
      </ns0:c>
      <ns0:c r="C21" s="16" t="str">
        <ns0:v>打开 detail.tmall.com</ns0:v>
      </ns0:c>
      <ns0:c r="D21" s="11" t="str">
        <ns0:v>不把包装尺寸充当外形；承载额定、装配外包、店铺实时库存未核。</ns0:v>
      </ns0:c>
      <ns0:c r="E21" s="11" t="str">
        <ns0:v>https://detail.tmall.com/item.htm?id=630347182725</ns0:v>
      </ns0:c>
    </ns0:row>
    <ns0:row r="22" ht="38" hidden="0" customHeight="1">
      <ns0:c r="A22" s="12" t="str">
        <ns0:v>H06</ns0:v>
      </ns0:c>
      <ns0:c r="B22" s="12" t="str">
        <ns0:v>技术依据</ns0:v>
      </ns0:c>
      <ns0:c r="C22" s="15" t="str">
        <ns0:v>打开 www.hafele.com</ns0:v>
      </ns0:c>
      <ns0:c r="D22" s="12" t="str">
        <ns0:v>目录129页；白色φ50型号表。深度22见经销规格，完整安装图待核。</ns0:v>
      </ns0:c>
      <ns0:c r="E22" s="12" t="str">
        <ns0:v>https://www.hafele.com/INTERSHOP/static/WFS/Haefele-HAC-Site/-/Haefele-HAC/en_US/opentext/assets/hac/Closet_Catalog_2022.pdf</ns0:v>
      </ns0:c>
    </ns0:row>
    <ns0:row r="23" ht="38" hidden="0" customHeight="1">
      <ns0:c r="A23" s="11" t="str">
        <ns0:v>H06</ns0:v>
      </ns0:c>
      <ns0:c r="B23" s="11" t="str">
        <ns0:v>购买页面</ns0:v>
      </ns0:c>
      <ns0:c r="C23" s="16" t="str">
        <ns0:v>打开 www.wurthmachinery.com</ns0:v>
      </ns0:c>
      <ns0:c r="D23" s="11" t="str">
        <ns0:v>目录129页；白色φ50型号表。深度22见经销规格，完整安装图待核。</ns0:v>
      </ns0:c>
      <ns0:c r="E23" s="11" t="str">
        <ns0:v>https://www.wurthmachinery.com/50mm-Cable-Grommet-with-Spring-Loaded-White.html</ns0:v>
      </ns0:c>
    </ns0:row>
    <ns0:row r="24" ht="38" hidden="0" customHeight="1">
      <ns0:c r="A24" s="12" t="str">
        <ns0:v>H07</ns0:v>
      </ns0:c>
      <ns0:c r="B24" s="12" t="str">
        <ns0:v>技术依据</ns0:v>
      </ns0:c>
      <ns0:c r="C24" s="15" t="str">
        <ns0:v>打开 www.soss.com</ns0:v>
      </ns0:c>
      <ns0:c r="D24" s="12" t="str">
        <ns0:v>尺寸图第1页；安装说明第2页BHC104行</ns0:v>
      </ns0:c>
      <ns0:c r="E24" s="12" t="str">
        <ns0:v>https://www.soss.com/product/barrel-hinge/</ns0:v>
      </ns0:c>
    </ns0:row>
    <ns0:row r="25" ht="38" hidden="0" customHeight="1">
      <ns0:c r="A25" s="11" t="str">
        <ns0:v>H07</ns0:v>
      </ns0:c>
      <ns0:c r="B25" s="11" t="str">
        <ns0:v>厂家附加来源</ns0:v>
      </ns0:c>
      <ns0:c r="C25" s="16" t="str">
        <ns0:v>打开 www.soss.com</ns0:v>
      </ns0:c>
      <ns0:c r="D25" s="11" t="str">
        <ns0:v>尺寸图第1页；安装说明第2页BHC104行</ns0:v>
      </ns0:c>
      <ns0:c r="E25" s="11" t="str">
        <ns0:v>https://www.soss.com/wp-content/uploads/2015/04/SOSS_BH104R.pdf</ns0:v>
      </ns0:c>
    </ns0:row>
    <ns0:row r="26" ht="38" hidden="0" customHeight="1">
      <ns0:c r="A26" s="12" t="str">
        <ns0:v>H07</ns0:v>
      </ns0:c>
      <ns0:c r="B26" s="12" t="str">
        <ns0:v>购买页面</ns0:v>
      </ns0:c>
      <ns0:c r="C26" s="15" t="str">
        <ns0:v>打开 www.soss.com</ns0:v>
      </ns0:c>
      <ns0:c r="D26" s="12" t="str">
        <ns0:v>尺寸图第1页；安装说明第2页BHC104行</ns0:v>
      </ns0:c>
      <ns0:c r="E26" s="12" t="str">
        <ns0:v>https://www.soss.com/product/barrel-hinge/</ns0:v>
      </ns0:c>
    </ns0:row>
    <ns0:row r="27" ht="38" hidden="0" customHeight="1">
      <ns0:c r="A27" s="11" t="str">
        <ns0:v>H09</ns0:v>
      </ns0:c>
      <ns0:c r="B27" s="11" t="str">
        <ns0:v>技术依据</ns0:v>
      </ns0:c>
      <ns0:c r="C27" s="16" t="str">
        <ns0:v>打开 www.nbk1560.com</ns0:v>
      </ns0:c>
      <ns0:c r="D27" s="11" t="str">
        <ns0:v>8点为R02设计数量；拧紧扭矩按实际阻燃多层板试验，不能套用钢连接满扭矩。</ns0:v>
      </ns0:c>
      <ns0:c r="E27" s="11" t="str">
        <ns0:v>https://www.nbk1560.com/en-US/products/specialscrew/nedzicom/socketheadcapscrew/SNS/</ns0:v>
      </ns0:c>
    </ns0:row>
    <ns0:row r="28" ht="38" hidden="0" customHeight="1">
      <ns0:c r="A28" s="12" t="str">
        <ns0:v>H09</ns0:v>
      </ns0:c>
      <ns0:c r="B28" s="12" t="str">
        <ns0:v>购买页面</ns0:v>
      </ns0:c>
      <ns0:c r="C28" s="15" t="str">
        <ns0:v>打开 www.f-e-s.co.uk</ns0:v>
      </ns0:c>
      <ns0:c r="D28" s="12" t="str">
        <ns0:v>8点为R02设计数量；拧紧扭矩按实际阻燃多层板试验，不能套用钢连接满扭矩。</ns0:v>
      </ns0:c>
      <ns0:c r="E28" s="12" t="str">
        <ns0:v>https://www.f-e-s.co.uk/m6-x-12-socket-cap-screws-grade-12-9-zinc-plated-din-912.html</ns0:v>
      </ns0:c>
    </ns0:row>
    <ns0:row r="29" ht="38" hidden="0" customHeight="1">
      <ns0:c r="A29" s="11" t="str">
        <ns0:v>H10</ns0:v>
      </ns0:c>
      <ns0:c r="B29" s="11" t="str">
        <ns0:v>技术依据</ns0:v>
      </ns0:c>
      <ns0:c r="C29" s="16" t="str">
        <ns0:v>打开 www.rampa.com</ns0:v>
      </ns0:c>
      <ns0:c r="D29" s="11" t="str">
        <ns0:v>第1页439 612 001行</ns0:v>
      </ns0:c>
      <ns0:c r="E29" s="11" t="str">
        <ns0:v>https://www.rampa.com/eu/en/rampa-inserts-type-skd30/439612001010</ns0:v>
      </ns0:c>
    </ns0:row>
    <ns0:row r="30" ht="38" hidden="0" customHeight="1">
      <ns0:c r="A30" s="12" t="str">
        <ns0:v>H10</ns0:v>
      </ns0:c>
      <ns0:c r="B30" s="12" t="str">
        <ns0:v>厂家附加来源</ns0:v>
      </ns0:c>
      <ns0:c r="C30" s="15" t="str">
        <ns0:v>打开 www.rampa.com</ns0:v>
      </ns0:c>
      <ns0:c r="D30" s="12" t="str">
        <ns0:v>第1页439 612 001行</ns0:v>
      </ns0:c>
      <ns0:c r="E30" s="12" t="str">
        <ns0:v>https://www.rampa.com/na/en/rampadownloads/092e80313dbe48e18b4c28e5343939fe</ns0:v>
      </ns0:c>
    </ns0:row>
    <ns0:row r="31" ht="38" hidden="0" customHeight="1">
      <ns0:c r="A31" s="11" t="str">
        <ns0:v>H10</ns0:v>
      </ns0:c>
      <ns0:c r="B31" s="11" t="str">
        <ns0:v>购买页面</ns0:v>
      </ns0:c>
      <ns0:c r="C31" s="16" t="str">
        <ns0:v>打开 www.rampa.com</ns0:v>
      </ns0:c>
      <ns0:c r="D31" s="11" t="str">
        <ns0:v>第1页439 612 001行</ns0:v>
      </ns0:c>
      <ns0:c r="E31" s="11" t="str">
        <ns0:v>https://www.rampa.com/eu/en/rampa-inserts-type-skd30/439612001010</ns0:v>
      </ns0:c>
    </ns0:row>
    <ns0:row r="32" ht="38" hidden="0" customHeight="1">
      <ns0:c r="A32" s="12" t="str">
        <ns0:v>H11</ns0:v>
      </ns0:c>
      <ns0:c r="B32" s="12" t="str">
        <ns0:v>购买页面</ns0:v>
      </ns0:c>
      <ns0:c r="C32" s="15" t="str">
        <ns0:v>打开 www.mofakult.fr</ns0:v>
      </ns0:c>
      <ns0:c r="D32" s="12" t="str">
        <ns0:v>不要用不同厚度弹垫替代，否则有效啮合长度变化。</ns0:v>
      </ns0:c>
      <ns0:c r="E32" s="12" t="str">
        <ns0:v>https://www.mofakult.fr/en/washer-m6-6-4-12-1-6-galvanized-29733</ns0:v>
      </ns0:c>
    </ns0:row>
    <ns0:row r="33" ht="38" hidden="0" customHeight="1">
      <ns0:c r="A33" s="11" t="str">
        <ns0:v>H12</ns0:v>
      </ns0:c>
      <ns0:c r="B33" s="11" t="str">
        <ns0:v>购买页面</ns0:v>
      </ns0:c>
      <ns0:c r="C33" s="16" t="str">
        <ns0:v>打开 www.vital-parts.co.uk</ns0:v>
      </ns0:c>
      <ns0:c r="D33" s="11" t="str">
        <ns0:v>合页叶片T1.5＋门T1.5（或支撑板）；M3×8避免长端侵入活动区。</ns0:v>
      </ns0:c>
      <ns0:c r="E33" s="11" t="str">
        <ns0:v>https://www.vital-parts.co.uk/phillips-pan-head-machine-screws-din-7985h/17017-pph7985h-m3-8-a2</ns0:v>
      </ns0:c>
    </ns0:row>
    <ns0:row r="34" ht="38" hidden="0" customHeight="1">
      <ns0:c r="A34" s="12" t="str">
        <ns0:v>H13</ns0:v>
      </ns0:c>
      <ns0:c r="B34" s="12" t="str">
        <ns0:v>技术依据</ns0:v>
      </ns0:c>
      <ns0:c r="C34" s="15" t="str">
        <ns0:v>打开 www.nbk1560.com</ns0:v>
      </ns0:c>
      <ns0:c r="D34" s="12" t="str">
        <ns0:v>第1页M5及安装示意</ns0:v>
      </ns0:c>
      <ns0:c r="E34" s="12" t="str">
        <ns0:v>https://www.nbk1560.com/en-US/products/specialscrew/nedzicom/captivescrew/SSC/SSC-M5/SSC-M5-8/</ns0:v>
      </ns0:c>
    </ns0:row>
    <ns0:row r="35" ht="38" hidden="0" customHeight="1">
      <ns0:c r="A35" s="11" t="str">
        <ns0:v>H13</ns0:v>
      </ns0:c>
      <ns0:c r="B35" s="11" t="str">
        <ns0:v>厂家附加来源</ns0:v>
      </ns0:c>
      <ns0:c r="C35" s="16" t="str">
        <ns0:v>打开 www.nbk1560.com</ns0:v>
      </ns0:c>
      <ns0:c r="D35" s="11" t="str">
        <ns0:v>第1页M5及安装示意</ns0:v>
      </ns0:c>
      <ns0:c r="E35" s="11" t="str">
        <ns0:v>https://www.nbk1560.com/images/en/product/captivescrew/SSC/SSC_1.pdf</ns0:v>
      </ns0:c>
    </ns0:row>
    <ns0:row r="36" ht="38" hidden="0" customHeight="1">
      <ns0:c r="A36" s="12" t="str">
        <ns0:v>H13</ns0:v>
      </ns0:c>
      <ns0:c r="B36" s="12" t="str">
        <ns0:v>购买页面</ns0:v>
      </ns0:c>
      <ns0:c r="C36" s="15" t="str">
        <ns0:v>打开 www.nbk1560-chn.com.cn</ns0:v>
      </ns0:c>
      <ns0:c r="D36" s="12" t="str">
        <ns0:v>第1页M5及安装示意</ns0:v>
      </ns0:c>
      <ns0:c r="E36" s="12" t="str">
        <ns0:v>https://www.nbk1560-chn.com.cn/products/specialscrew/nedzicom/captivescrew/SSC/</ns0:v>
      </ns0:c>
    </ns0:row>
    <ns0:row r="37" ht="38" hidden="0" customHeight="1">
      <ns0:c r="A37" s="11" t="str">
        <ns0:v>H25</ns0:v>
      </ns0:c>
      <ns0:c r="B37" s="11" t="str">
        <ns0:v>技术依据</ns0:v>
      </ns0:c>
      <ns0:c r="C37" s="16" t="str">
        <ns0:v>打开 www.sugatsune.com</ns0:v>
      </ns0:c>
      <ns0:c r="D37" s="11" t="str">
        <ns0:v>第1页CHC-S18BL行</ns0:v>
      </ns0:c>
      <ns0:c r="E37" s="11" t="str">
        <ns0:v>https://www.sugatsune.com/content/site-assets/201B_PDF/CHC-S.pdf</ns0:v>
      </ns0:c>
    </ns0:row>
    <ns0:row r="38" ht="38" hidden="0" customHeight="1">
      <ns0:c r="A38" s="12" t="str">
        <ns0:v>H25</ns0:v>
      </ns0:c>
      <ns0:c r="B38" s="12" t="str">
        <ns0:v>厂家附加来源</ns0:v>
      </ns0:c>
      <ns0:c r="C38" s="15" t="str">
        <ns0:v>打开 www.sugatsune.com</ns0:v>
      </ns0:c>
      <ns0:c r="D38" s="12" t="str">
        <ns0:v>第1页CHC-S18BL行</ns0:v>
      </ns0:c>
      <ns0:c r="E38" s="12" t="str">
        <ns0:v>https://www.sugatsune.com/content/site-assets/201B_PDF/CHC-S.pdf</ns0:v>
      </ns0:c>
    </ns0:row>
    <ns0:row r="39" ht="38" hidden="0" customHeight="1">
      <ns0:c r="A39" s="11" t="str">
        <ns0:v>H25</ns0:v>
      </ns0:c>
      <ns0:c r="B39" s="11" t="str">
        <ns0:v>购买页面</ns0:v>
      </ns0:c>
      <ns0:c r="C39" s="16" t="str">
        <ns0:v>打开 www.sugatsune.com</ns0:v>
      </ns0:c>
      <ns0:c r="D39" s="11" t="str">
        <ns0:v>第1页CHC-S18BL行</ns0:v>
      </ns0:c>
      <ns0:c r="E39" s="11" t="str">
        <ns0:v>https://www.sugatsune.com/split-cable-grommet-chc-s18bl/</ns0:v>
      </ns0:c>
    </ns0:row>
    <ns0:row r="40" ht="38" hidden="0" customHeight="1">
      <ns0:c r="A40" s="12" t="str">
        <ns0:v>H26</ns0:v>
      </ns0:c>
      <ns0:c r="B40" s="12" t="str">
        <ns0:v>技术依据</ns0:v>
      </ns0:c>
      <ns0:c r="C40" s="15" t="str">
        <ns0:v>打开 hafelethailand.com</ns0:v>
      </ns0:c>
      <ns0:c r="D40" s="12" t="str">
        <ns0:v>PDF第35页（FF13.35）045.00.332</ns0:v>
      </ns0:c>
      <ns0:c r="E40" s="12" t="str">
        <ns0:v>https://hafelethailand.com/wp-content/uploads/2025/12/13-Tooling-Screws-and-Consumables.pdf</ns0:v>
      </ns0:c>
    </ns0:row>
    <ns0:row r="41" ht="38" hidden="0" customHeight="1">
      <ns0:c r="A41" s="11" t="str">
        <ns0:v>H26</ns0:v>
      </ns0:c>
      <ns0:c r="B41" s="11" t="str">
        <ns0:v>厂家附加来源</ns0:v>
      </ns0:c>
      <ns0:c r="C41" s="16" t="str">
        <ns0:v>打开 hafelethailand.com</ns0:v>
      </ns0:c>
      <ns0:c r="D41" s="11" t="str">
        <ns0:v>PDF第35页（FF13.35）045.00.332</ns0:v>
      </ns0:c>
      <ns0:c r="E41" s="11" t="str">
        <ns0:v>https://hafelethailand.com/wp-content/uploads/2025/12/13-Tooling-Screws-and-Consumables.pdf</ns0:v>
      </ns0:c>
    </ns0:row>
    <ns0:row r="42" ht="38" hidden="0" customHeight="1">
      <ns0:c r="A42" s="12" t="str">
        <ns0:v>H26</ns0:v>
      </ns0:c>
      <ns0:c r="B42" s="12" t="str">
        <ns0:v>购买页面</ns0:v>
      </ns0:c>
      <ns0:c r="C42" s="15" t="str">
        <ns0:v>打开 www.ungrund.store</ns0:v>
      </ns0:c>
      <ns0:c r="D42" s="12" t="str">
        <ns0:v>PDF第35页（FF13.35）045.00.332</ns0:v>
      </ns0:c>
      <ns0:c r="E42" s="12" t="str">
        <ns0:v>https://www.ungrund.store/OE-12mm-Abdeckkappe-fuer-Blindbohrung-tiefschwarz-VE-500/PID426816.1</ns0:v>
      </ns0:c>
    </ns0:row>
    <ns0:row r="43" ht="38" hidden="0" customHeight="1">
      <ns0:c r="A43" s="11" t="str">
        <ns0:v>H14</ns0:v>
      </ns0:c>
      <ns0:c r="B43" s="11" t="str">
        <ns0:v>技术依据</ns0:v>
      </ns0:c>
      <ns0:c r="C43" s="16" t="str">
        <ns0:v>打开 www.nufast.co.uk</ns0:v>
      </ns0:c>
      <ns0:c r="D43" s="11" t="str">
        <ns0:v>订单具体SKU、包装量和库存待采购核对。</ns0:v>
      </ns0:c>
      <ns0:c r="E43" s="11" t="str">
        <ns0:v>https://www.nufast.co.uk/uploads/DIN_929.pdf</ns0:v>
      </ns0:c>
    </ns0:row>
    <ns0:row r="44" ht="38" hidden="0" customHeight="1">
      <ns0:c r="A44" s="12" t="str">
        <ns0:v>H14</ns0:v>
      </ns0:c>
      <ns0:c r="B44" s="12" t="str">
        <ns0:v>购买页面</ns0:v>
      </ns0:c>
      <ns0:c r="C44" s="15" t="str">
        <ns0:v>打开 boltworld.co.uk</ns0:v>
      </ns0:c>
      <ns0:c r="D44" s="12" t="str">
        <ns0:v>订单具体SKU、包装量和库存待采购核对。</ns0:v>
      </ns0:c>
      <ns0:c r="E44" s="12" t="str">
        <ns0:v>https://boltworld.co.uk/products/m5-hexagon-weld-nut-self-colour-din-929/</ns0:v>
      </ns0:c>
    </ns0:row>
    <ns0:row r="45" ht="38" hidden="0" customHeight="1">
      <ns0:c r="A45" s="11" t="str">
        <ns0:v>H15</ns0:v>
      </ns0:c>
      <ns0:c r="B45" s="11" t="str">
        <ns0:v>技术依据</ns0:v>
      </ns0:c>
      <ns0:c r="C45" s="16" t="str">
        <ns0:v>打开 www.misumi.com.cn</ns0:v>
      </ns0:c>
      <ns0:c r="D45" s="11" t="str">
        <ns0:v>订单具体SKU、包装量和库存待采购核对。</ns0:v>
      </ns0:c>
      <ns0:c r="E45" s="11" t="str">
        <ns0:v>https://www.misumi.com.cn/</ns0:v>
      </ns0:c>
    </ns0:row>
    <ns0:row r="46" ht="38" hidden="0" customHeight="1">
      <ns0:c r="A46" s="12" t="str">
        <ns0:v>H15</ns0:v>
      </ns0:c>
      <ns0:c r="B46" s="12" t="str">
        <ns0:v>购买页面</ns0:v>
      </ns0:c>
      <ns0:c r="C46" s="15" t="str">
        <ns0:v>打开 www.fixaball.co.uk</ns0:v>
      </ns0:c>
      <ns0:c r="D46" s="12" t="str">
        <ns0:v>订单具体SKU、包装量和库存待采购核对。</ns0:v>
      </ns0:c>
      <ns0:c r="E46" s="12" t="str">
        <ns0:v>https://www.fixaball.co.uk/products/m6-socket-cap-screw-high-tensile-12-9-zinc-din-912</ns0:v>
      </ns0:c>
    </ns0:row>
    <ns0:row r="47" ht="38" hidden="0" customHeight="1">
      <ns0:c r="A47" s="11" t="str">
        <ns0:v>H16</ns0:v>
      </ns0:c>
      <ns0:c r="B47" s="11" t="str">
        <ns0:v>技术依据</ns0:v>
      </ns0:c>
      <ns0:c r="C47" s="16" t="str">
        <ns0:v>打开 www.nufast.co.uk</ns0:v>
      </ns0:c>
      <ns0:c r="D47" s="11" t="str">
        <ns0:v>订单具体SKU、包装量和库存待采购核对。</ns0:v>
      </ns0:c>
      <ns0:c r="E47" s="11" t="str">
        <ns0:v>https://www.nufast.co.uk/uploads/DIN_929.pdf</ns0:v>
      </ns0:c>
    </ns0:row>
    <ns0:row r="48" ht="38" hidden="0" customHeight="1">
      <ns0:c r="A48" s="12" t="str">
        <ns0:v>H16</ns0:v>
      </ns0:c>
      <ns0:c r="B48" s="12" t="str">
        <ns0:v>购买页面</ns0:v>
      </ns0:c>
      <ns0:c r="C48" s="15" t="str">
        <ns0:v>打开 www.orbitalfasteners.co.uk</ns0:v>
      </ns0:c>
      <ns0:c r="D48" s="12" t="str">
        <ns0:v>订单具体SKU、包装量和库存待采购核对。</ns0:v>
      </ns0:c>
      <ns0:c r="E48" s="12" t="str">
        <ns0:v>https://www.orbitalfasteners.co.uk/products/m6-mild-steel-hexagon-we-ld-nut-self-colour</ns0:v>
      </ns0:c>
    </ns0:row>
    <ns0:row r="49" ht="38" hidden="0" customHeight="1">
      <ns0:c r="A49" s="11" t="str">
        <ns0:v>H17</ns0:v>
      </ns0:c>
      <ns0:c r="B49" s="11" t="str">
        <ns0:v>技术依据</ns0:v>
      </ns0:c>
      <ns0:c r="C49" s="16" t="str">
        <ns0:v>打开 www.misumi.com.cn</ns0:v>
      </ns0:c>
      <ns0:c r="D49" s="11" t="str">
        <ns0:v>订单具体SKU、包装量和库存待采购核对。</ns0:v>
      </ns0:c>
      <ns0:c r="E49" s="11" t="str">
        <ns0:v>https://www.misumi.com.cn/</ns0:v>
      </ns0:c>
    </ns0:row>
    <ns0:row r="50" ht="38" hidden="0" customHeight="1">
      <ns0:c r="A50" s="12" t="str">
        <ns0:v>H17</ns0:v>
      </ns0:c>
      <ns0:c r="B50" s="12" t="str">
        <ns0:v>购买页面</ns0:v>
      </ns0:c>
      <ns0:c r="C50" s="15" t="str">
        <ns0:v>打开 www.fastenersfixingsandtools.co.uk</ns0:v>
      </ns0:c>
      <ns0:c r="D50" s="12" t="str">
        <ns0:v>订单具体SKU、包装量和库存待采购核对。</ns0:v>
      </ns0:c>
      <ns0:c r="E50" s="12" t="str">
        <ns0:v>https://www.fastenersfixingsandtools.co.uk/products/soc-cap-for-zinc-m4x25odin-912-grd129-300mm-keyoo</ns0:v>
      </ns0:c>
    </ns0:row>
    <ns0:row r="51" ht="38" hidden="0" customHeight="1">
      <ns0:c r="A51" s="11" t="str">
        <ns0:v>H18</ns0:v>
      </ns0:c>
      <ns0:c r="B51" s="11" t="str">
        <ns0:v>技术依据</ns0:v>
      </ns0:c>
      <ns0:c r="C51" s="16" t="str">
        <ns0:v>打开 www.nufast.co.uk</ns0:v>
      </ns0:c>
      <ns0:c r="D51" s="11" t="str">
        <ns0:v>订单具体SKU、包装量和库存待采购核对。</ns0:v>
      </ns0:c>
      <ns0:c r="E51" s="11" t="str">
        <ns0:v>https://www.nufast.co.uk/uploads/DIN_929.pdf</ns0:v>
      </ns0:c>
    </ns0:row>
    <ns0:row r="52" ht="38" hidden="0" customHeight="1">
      <ns0:c r="A52" s="12" t="str">
        <ns0:v>H18</ns0:v>
      </ns0:c>
      <ns0:c r="B52" s="12" t="str">
        <ns0:v>购买页面</ns0:v>
      </ns0:c>
      <ns0:c r="C52" s="15" t="str">
        <ns0:v>打开 schrauben-expert.de</ns0:v>
      </ns0:c>
      <ns0:c r="D52" s="12" t="str">
        <ns0:v>订单具体SKU、包装量和库存待采购核对。</ns0:v>
      </ns0:c>
      <ns0:c r="E52" s="12" t="str">
        <ns0:v>https://schrauben-expert.de/weld-groove-DIN-929-M4-Steel</ns0:v>
      </ns0:c>
    </ns0:row>
    <ns0:row r="53" ht="38" hidden="0" customHeight="1">
      <ns0:c r="A53" s="11" t="str">
        <ns0:v>H19</ns0:v>
      </ns0:c>
      <ns0:c r="B53" s="11" t="str">
        <ns0:v>技术依据</ns0:v>
      </ns0:c>
      <ns0:c r="C53" s="16" t="str">
        <ns0:v>打开 global.sugatsune.com</ns0:v>
      </ns0:c>
      <ns0:c r="D53" s="11" t="str">
        <ns0:v>第1页上段SU-30/S</ns0:v>
      </ns0:c>
      <ns0:c r="E53" s="11" t="str">
        <ns0:v>https://global.sugatsune.com/cn/zh-cn/arch/products/22735_a</ns0:v>
      </ns0:c>
    </ns0:row>
    <ns0:row r="54" ht="38" hidden="0" customHeight="1">
      <ns0:c r="A54" s="12" t="str">
        <ns0:v>H19</ns0:v>
      </ns0:c>
      <ns0:c r="B54" s="12" t="str">
        <ns0:v>厂家附加来源</ns0:v>
      </ns0:c>
      <ns0:c r="C54" s="15" t="str">
        <ns0:v>打开 www.sugatsune.com</ns0:v>
      </ns0:c>
      <ns0:c r="D54" s="12" t="str">
        <ns0:v>第1页上段SU-30/S</ns0:v>
      </ns0:c>
      <ns0:c r="E54" s="12" t="str">
        <ns0:v>https://www.sugatsune.com/content/site-assets/201B_PDF/474.pdf</ns0:v>
      </ns0:c>
    </ns0:row>
    <ns0:row r="55" ht="38" hidden="0" customHeight="1">
      <ns0:c r="A55" s="11" t="str">
        <ns0:v>H19</ns0:v>
      </ns0:c>
      <ns0:c r="B55" s="11" t="str">
        <ns0:v>购买页面</ns0:v>
      </ns0:c>
      <ns0:c r="C55" s="16" t="str">
        <ns0:v>打开 global.sugatsune.com</ns0:v>
      </ns0:c>
      <ns0:c r="D55" s="11" t="str">
        <ns0:v>第1页上段SU-30/S</ns0:v>
      </ns0:c>
      <ns0:c r="E55" s="11" t="str">
        <ns0:v>https://global.sugatsune.com/cn/zh-cn/arch/products/22735_a</ns0:v>
      </ns0:c>
    </ns0:row>
    <ns0:row r="56" ht="38" hidden="0" customHeight="1">
      <ns0:c r="A56" s="12" t="str">
        <ns0:v>H20</ns0:v>
      </ns0:c>
      <ns0:c r="B56" s="12" t="str">
        <ns0:v>技术依据</ns0:v>
      </ns0:c>
      <ns0:c r="C56" s="15" t="str">
        <ns0:v>打开 www.misumi.com.cn</ns0:v>
      </ns0:c>
      <ns0:c r="D56" s="12" t="str">
        <ns0:v>订单具体SKU、包装量和库存待采购核对。</ns0:v>
      </ns0:c>
      <ns0:c r="E56" s="12" t="str">
        <ns0:v>https://www.misumi.com.cn/</ns0:v>
      </ns0:c>
    </ns0:row>
    <ns0:row r="57" ht="38" hidden="0" customHeight="1">
      <ns0:c r="A57" s="11" t="str">
        <ns0:v>H20</ns0:v>
      </ns0:c>
      <ns0:c r="B57" s="11" t="str">
        <ns0:v>购买页面</ns0:v>
      </ns0:c>
      <ns0:c r="C57" s="16" t="str">
        <ns0:v>打开 www.wovar.co.uk</ns0:v>
      </ns0:c>
      <ns0:c r="D57" s="11" t="str">
        <ns0:v>订单具体SKU、包装量和库存待采购核对。</ns0:v>
      </ns0:c>
      <ns0:c r="E57" s="11" t="str">
        <ns0:v>https://www.wovar.co.uk/chipboard-screws-galvanised-3x12mm/</ns0:v>
      </ns0:c>
    </ns0:row>
    <ns0:row r="58" ht="38" hidden="0" customHeight="1">
      <ns0:c r="A58" s="12" t="str">
        <ns0:v>H21</ns0:v>
      </ns0:c>
      <ns0:c r="B58" s="12" t="str">
        <ns0:v>技术依据</ns0:v>
      </ns0:c>
      <ns0:c r="C58" s="15" t="str">
        <ns0:v>打开 www.fugendichtband24.de</ns0:v>
      </ns0:c>
      <ns0:c r="D58" s="12" t="str">
        <ns0:v>Shore A约65；每桌切8片净面积2304mm²；1片原板足够。含胶厚必须到货实测。</ns0:v>
      </ns0:c>
      <ns0:c r="E58" s="12" t="str">
        <ns0:v>https://www.fugendichtband24.de/EPDM-Vollgummimatte-2mm-Staerke-200mm-x-300mm-einseitig-selbstklebend-ca-65-Shore-A.htm</ns0:v>
      </ns0:c>
    </ns0:row>
    <ns0:row r="59" ht="38" hidden="0" customHeight="1">
      <ns0:c r="A59" s="11" t="str">
        <ns0:v>H21</ns0:v>
      </ns0:c>
      <ns0:c r="B59" s="11" t="str">
        <ns0:v>购买页面</ns0:v>
      </ns0:c>
      <ns0:c r="C59" s="16" t="str">
        <ns0:v>打开 www.fugendichtband24.de</ns0:v>
      </ns0:c>
      <ns0:c r="D59" s="11" t="str">
        <ns0:v>Shore A约65；每桌切8片净面积2304mm²；1片原板足够。含胶厚必须到货实测。</ns0:v>
      </ns0:c>
      <ns0:c r="E59" s="11" t="str">
        <ns0:v>https://www.fugendichtband24.de/EPDM-Vollgummimatte-2mm-Staerke-200mm-x-300mm-einseitig-selbstklebend-ca-65-Shore-A.htm</ns0:v>
      </ns0:c>
    </ns0:row>
    <ns0:row r="60" ht="38" hidden="0" customHeight="1">
      <ns0:c r="A60" s="12" t="str">
        <ns0:v>B01</ns0:v>
      </ns0:c>
      <ns0:c r="B60" s="12" t="str">
        <ns0:v>技术依据</ns0:v>
      </ns0:c>
      <ns0:c r="C60" s="15" t="str">
        <ns0:v>打开 uk.rs-online.com</ns0:v>
      </ns0:c>
      <ns0:c r="D60" s="12" t="str">
        <ns0:v>第2页3269808行</ns0:v>
      </ns0:c>
      <ns0:c r="E60" s="12" t="str">
        <ns0:v>https://uk.rs-online.com/web/p/door-seals/3269808</ns0:v>
      </ns0:c>
    </ns0:row>
    <ns0:row r="61" ht="38" hidden="0" customHeight="1">
      <ns0:c r="A61" s="11" t="str">
        <ns0:v>B01</ns0:v>
      </ns0:c>
      <ns0:c r="B61" s="11" t="str">
        <ns0:v>厂家附加来源</ns0:v>
      </ns0:c>
      <ns0:c r="C61" s="16" t="str">
        <ns0:v>打开 docs.rs-online.com</ns0:v>
      </ns0:c>
      <ns0:c r="D61" s="11" t="str">
        <ns0:v>第2页3269808行</ns0:v>
      </ns0:c>
      <ns0:c r="E61" s="11" t="str">
        <ns0:v>https://docs.rs-online.com/635a/A700000015884303.pdf</ns0:v>
      </ns0:c>
    </ns0:row>
    <ns0:row r="62" ht="38" hidden="0" customHeight="1">
      <ns0:c r="A62" s="12" t="str">
        <ns0:v>B01</ns0:v>
      </ns0:c>
      <ns0:c r="B62" s="12" t="str">
        <ns0:v>购买页面</ns0:v>
      </ns0:c>
      <ns0:c r="C62" s="15" t="str">
        <ns0:v>打开 uk.rs-online.com</ns0:v>
      </ns0:c>
      <ns0:c r="D62" s="12" t="str">
        <ns0:v>第2页3269808行</ns0:v>
      </ns0:c>
      <ns0:c r="E62" s="12" t="str">
        <ns0:v>https://uk.rs-online.com/web/p/door-seals/3269808</ns0:v>
      </ns0:c>
    </ns0:row>
    <ns0:row r="63" ht="38" hidden="0" customHeight="1">
      <ns0:c r="A63" s="11" t="str">
        <ns0:v>B03</ns0:v>
      </ns0:c>
      <ns0:c r="B63" s="11" t="str">
        <ns0:v>技术依据</ns0:v>
      </ns0:c>
      <ns0:c r="C63" s="16" t="str">
        <ns0:v>打开 www.misumi.com.cn</ns0:v>
      </ns0:c>
      <ns0:c r="D63" s="11" t="str">
        <ns0:v>订单具体SKU、包装量和库存待采购核对。</ns0:v>
      </ns0:c>
      <ns0:c r="E63" s="11" t="str">
        <ns0:v>https://www.misumi.com.cn/</ns0:v>
      </ns0:c>
    </ns0:row>
    <ns0:row r="64" ht="38" hidden="0" customHeight="1">
      <ns0:c r="A64" s="12" t="str">
        <ns0:v>B03</ns0:v>
      </ns0:c>
      <ns0:c r="B64" s="12" t="str">
        <ns0:v>购买页面</ns0:v>
      </ns0:c>
      <ns0:c r="C64" s="15" t="str">
        <ns0:v>打开 www.ubuy.do</ns0:v>
      </ns0:c>
      <ns0:c r="D64" s="12" t="str">
        <ns0:v>订单具体SKU、包装量和库存待采购核对。</ns0:v>
      </ns0:c>
      <ns0:c r="E64" s="12" t="str">
        <ns0:v>https://www.ubuy.do/en/productde/JSV81LXF4-quarkzman-3-mm-x-8-mm-phillips-pan-head-self-tapping-screw-pack-of-100-304-stainless-steel-round-head-wood-screw-full-thread-black</ns0:v>
      </ns0:c>
    </ns0:row>
    <ns0:row r="65" ht="38" hidden="0" customHeight="1">
      <ns0:c r="A65" s="11" t="str">
        <ns0:v>H22</ns0:v>
      </ns0:c>
      <ns0:c r="B65" s="11" t="str">
        <ns0:v>技术依据</ns0:v>
      </ns0:c>
      <ns0:c r="C65" s="16" t="str">
        <ns0:v>打开 www.wkooa.com</ns0:v>
      </ns0:c>
      <ns0:c r="D65" s="11" t="str">
        <ns0:v>成品调整片，不能按8个梁端误计32；安装实测总厚及孔径通过性。</ns0:v>
      </ns0:c>
      <ns0:c r="E65" s="11" t="str">
        <ns0:v>https://www.wkooa.com/product/6x12x1-shim-washers-stainless-steel-round-metric-din988-w29338</ns0:v>
      </ns0:c>
    </ns0:row>
    <ns0:row r="66" ht="38" hidden="0" customHeight="1">
      <ns0:c r="A66" s="12" t="str">
        <ns0:v>H22</ns0:v>
      </ns0:c>
      <ns0:c r="B66" s="12" t="str">
        <ns0:v>购买页面</ns0:v>
      </ns0:c>
      <ns0:c r="C66" s="15" t="str">
        <ns0:v>打开 www.wkooa.com</ns0:v>
      </ns0:c>
      <ns0:c r="D66" s="12" t="str">
        <ns0:v>成品调整片，不能按8个梁端误计32；安装实测总厚及孔径通过性。</ns0:v>
      </ns0:c>
      <ns0:c r="E66" s="12" t="str">
        <ns0:v>https://www.wkooa.com/product/6x12x1-shim-washers-stainless-steel-round-metric-din988-w29338</ns0:v>
      </ns0:c>
    </ns0:row>
    <ns0:row r="67" ht="38" hidden="0" customHeight="1">
      <ns0:c r="A67" s="11" t="str">
        <ns0:v>H23</ns0:v>
      </ns0:c>
      <ns0:c r="B67" s="11" t="str">
        <ns0:v>技术依据</ns0:v>
      </ns0:c>
      <ns0:c r="C67" s="16" t="str">
        <ns0:v>打开 www.ganternorm.com</ns0:v>
      </ns0:c>
      <ns0:c r="D67" s="11" t="str">
        <ns0:v>第1页C型双端片及150规格</ns0:v>
      </ns0:c>
      <ns0:c r="E67" s="11" t="str">
        <ns0:v>https://www.ganternorm.com/en/products/3.2-Mounting-Positioning-Leveling-with-Retaining-Cables-Screws-Clamping-and-Supporting-Elements/Retaining-cables/GN-111.2-Retaining-Cables-Stainless-Steel-with-Mounting-Tabs-or-Loops?artikelnr=111.2-150-C-BL</ns0:v>
      </ns0:c>
    </ns0:row>
    <ns0:row r="68" ht="38" hidden="0" customHeight="1">
      <ns0:c r="A68" s="12" t="str">
        <ns0:v>H23</ns0:v>
      </ns0:c>
      <ns0:c r="B68" s="12" t="str">
        <ns0:v>厂家附加来源</ns0:v>
      </ns0:c>
      <ns0:c r="C68" s="15" t="str">
        <ns0:v>打开 www.elesa-ganter.com.cn</ns0:v>
      </ns0:c>
      <ns0:c r="D68" s="12" t="str">
        <ns0:v>第1页C型双端片及150规格</ns0:v>
      </ns0:c>
      <ns0:c r="E68" s="12" t="str">
        <ns0:v>https://www.elesa-ganter.com.cn/siteassets/PDF/ZH/GN%20111.2.pdf</ns0:v>
      </ns0:c>
    </ns0:row>
    <ns0:row r="69" ht="38" hidden="0" customHeight="1">
      <ns0:c r="A69" s="11" t="str">
        <ns0:v>H23</ns0:v>
      </ns0:c>
      <ns0:c r="B69" s="11" t="str">
        <ns0:v>购买页面</ns0:v>
      </ns0:c>
      <ns0:c r="C69" s="16" t="str">
        <ns0:v>打开 biotek.hu</ns0:v>
      </ns0:c>
      <ns0:c r="D69" s="11" t="str">
        <ns0:v>第1页C型双端片及150规格</ns0:v>
      </ns0:c>
      <ns0:c r="E69" s="11" t="str">
        <ns0:v>https://biotek.hu/termek/ele85413-gn-1112-150-c-bl?lang=en</ns0:v>
      </ns0:c>
    </ns0:row>
    <ns0:row r="70" ht="38" hidden="0" customHeight="1">
      <ns0:c r="A70" s="12" t="str">
        <ns0:v>H24</ns0:v>
      </ns0:c>
      <ns0:c r="B70" s="12" t="str">
        <ns0:v>技术依据</ns0:v>
      </ns0:c>
      <ns0:c r="C70" s="15" t="str">
        <ns0:v>打开 www.westfieldfasteners.co.uk</ns0:v>
      </ns0:c>
      <ns0:c r="D70" s="12" t="str">
        <ns0:v>悬臂T3＋两垫T1＋端片T1.5＋防松母高5，M4×16末端余4.5；已核下方不撞梁/箱体。盖锚(860/1140,440)，底盘锚同X、Y400。</ns0:v>
      </ns0:c>
      <ns0:c r="E70" s="12" t="str">
        <ns0:v>https://www.westfieldfasteners.co.uk/Standards/Washer-od3nom-M.pdf</ns0:v>
      </ns0:c>
    </ns0:row>
    <ns0:row r="71" ht="38" hidden="0" customHeight="1">
      <ns0:c r="A71" s="11" t="str">
        <ns0:v>H24</ns0:v>
      </ns0:c>
      <ns0:c r="B71" s="11" t="str">
        <ns0:v>购买页面</ns0:v>
      </ns0:c>
      <ns0:c r="C71" s="16" t="str">
        <ns0:v>打开 www.vital-parts.co.uk</ns0:v>
      </ns0:c>
      <ns0:c r="D71" s="11" t="str">
        <ns0:v>悬臂T3＋两垫T1＋端片T1.5＋防松母高5，M4×16末端余4.5；已核下方不撞梁/箱体。盖锚(860/1140,440)，底盘锚同X、Y400。</ns0:v>
      </ns0:c>
      <ns0:c r="E71" s="11" t="str">
        <ns0:v>https://www.vital-parts.co.uk/phillips-pan-head-machine-screws-din-7985h/17031-pph7985h-m4-16-a2</ns0:v>
      </ns0:c>
    </ns0:row>
    <ns0:row r="72" ht="38" hidden="0" customHeight="1">
      <ns0:c r="A72" s="12" t="str">
        <ns0:v>E01</ns0:v>
      </ns0:c>
      <ns0:c r="B72" s="12" t="str">
        <ns0:v>技术依据</ns0:v>
      </ns0:c>
      <ns0:c r="C72" s="15" t="str">
        <ns0:v>打开 www.gongniu.cn</ns0:v>
      </ns0:c>
      <ns0:c r="D72" s="12" t="str">
        <ns0:v>厂家官网：3个五孔AC，1USB-A+2USB-C，USB最大输出65W</ns0:v>
      </ns0:c>
      <ns0:c r="E72" s="12" t="str">
        <ns0:v>https://www.gongniu.cn/show-186-625-1.html</ns0:v>
      </ns0:c>
    </ns0:row>
    <ns0:row r="73" ht="38" hidden="0" customHeight="1">
      <ns0:c r="A73" s="11" t="str">
        <ns0:v>E02</ns0:v>
      </ns0:c>
      <ns0:c r="B73" s="11" t="str">
        <ns0:v>技术依据</ns0:v>
      </ns0:c>
      <ns0:c r="C73" s="16" t="str">
        <ns0:v>打开 www.gongniu.cn</ns0:v>
      </ns0:c>
      <ns0:c r="D73" s="11" t="str">
        <ns0:v>厂家官网8位，最大10A，250V，过载保护，3m/5m原装线</ns0:v>
      </ns0:c>
      <ns0:c r="E73" s="11" t="str">
        <ns0:v>https://www.gongniu.cn/show-24-814-1.html</ns0:v>
      </ns0:c>
    </ns0:row>
    <ns0:row r="74" ht="38" hidden="0" customHeight="1">
      <ns0:c r="A74" s="12" t="str">
        <ns0:v>E03</ns0:v>
      </ns0:c>
      <ns0:c r="B74" s="12" t="str">
        <ns0:v>购买页面</ns0:v>
      </ns0:c>
      <ns0:c r="C74" s="15" t="str">
        <ns0:v>打开 www.ehsy.com</ns0:v>
      </ns0:c>
      <ns0:c r="D74" s="12" t="str">
        <ns0:v>可检索到明装五孔销售型号</ns0:v>
      </ns0:c>
      <ns0:c r="E74" s="12" t="str">
        <ns0:v>https://www.ehsy.com/product-CYV274</ns0:v>
      </ns0:c>
    </ns0:row>
    <ns0:row r="75" ht="38" hidden="0" customHeight="1">
      <ns0:c r="A75" s="11" t="str">
        <ns0:v>E07</ns0:v>
      </ns0:c>
      <ns0:c r="B75" s="11" t="str">
        <ns0:v>技术依据</ns0:v>
      </ns0:c>
      <ns0:c r="C75" s="16" t="str">
        <ns0:v>打开 www.hammfg.com</ns0:v>
      </ns0:c>
      <ns0:c r="D75" s="11" t="str">
        <ns0:v>箱体外包200×200×70；另购1557HPL原厂内板，工程图外182×182、T2.05、4φ4孔距170；网页187规格概略不作加工依据。</ns0:v>
      </ns0:c>
      <ns0:c r="E75" s="11" t="str">
        <ns0:v>https://www.hammfg.com/part/1557HA2GY</ns0:v>
      </ns0:c>
    </ns0:row>
    <ns0:row r="76" ht="38" hidden="0" customHeight="1">
      <ns0:c r="A76" s="12" t="str">
        <ns0:v>E07</ns0:v>
      </ns0:c>
      <ns0:c r="B76" s="12" t="str">
        <ns0:v>安装说明</ns0:v>
      </ns0:c>
      <ns0:c r="C76" s="15" t="str">
        <ns0:v>打开 www.hammfg.com</ns0:v>
      </ns0:c>
      <ns0:c r="D76" s="12" t="str">
        <ns0:v>箱体外包200×200×70；另购1557HPL原厂内板，工程图外182×182、T2.05、4φ4孔距170；网页187规格概略不作加工依据。</ns0:v>
      </ns0:c>
      <ns0:c r="E76" s="12" t="str">
        <ns0:v>https://www.hammfg.com/files/products/1557/wall-mount-foot-installipt.pdf?v=1697662067</ns0:v>
      </ns0:c>
    </ns0:row>
    <ns0:row r="77" ht="38" hidden="0" customHeight="1">
      <ns0:c r="A77" s="11" t="str">
        <ns0:v>E07</ns0:v>
      </ns0:c>
      <ns0:c r="B77" s="11" t="str">
        <ns0:v>购买页面</ns0:v>
      </ns0:c>
      <ns0:c r="C77" s="16" t="str">
        <ns0:v>打开 twen.rs-online.com</ns0:v>
      </ns0:c>
      <ns0:c r="D77" s="11" t="str">
        <ns0:v>箱体外包200×200×70；另购1557HPL原厂内板，工程图外182×182、T2.05、4φ4孔距170；网页187规格概略不作加工依据。</ns0:v>
      </ns0:c>
      <ns0:c r="E77" s="11" t="str">
        <ns0:v>https://twen.rs-online.com/web/p/pcb-mounting-enclosures/1974346</ns0:v>
      </ns0:c>
    </ns0:row>
    <ns0:row r="78" ht="38" hidden="0" customHeight="1">
      <ns0:c r="A78" s="12" t="str">
        <ns0:v>E07</ns0:v>
      </ns0:c>
      <ns0:c r="B78" s="12" t="str">
        <ns0:v>厂家附加来源</ns0:v>
      </ns0:c>
      <ns0:c r="C78" s="15" t="str">
        <ns0:v>打开 www.hammfg.com</ns0:v>
      </ns0:c>
      <ns0:c r="D78" s="12" t="str">
        <ns0:v>箱体外包200×200×70；另购1557HPL原厂内板，工程图外182×182、T2.05、4φ4孔距170；网页187规格概略不作加工依据。</ns0:v>
      </ns0:c>
      <ns0:c r="E78" s="12" t="str">
        <ns0:v>https://www.hammfg.com/part/1557HA2GY</ns0:v>
      </ns0:c>
    </ns0:row>
    <ns0:row r="79" ht="38" hidden="0" customHeight="1">
      <ns0:c r="A79" s="11" t="str">
        <ns0:v>E07</ns0:v>
      </ns0:c>
      <ns0:c r="B79" s="11" t="str">
        <ns0:v>厂家附加来源</ns0:v>
      </ns0:c>
      <ns0:c r="C79" s="16" t="str">
        <ns0:v>打开 www.hammfg.com</ns0:v>
      </ns0:c>
      <ns0:c r="D79" s="11" t="str">
        <ns0:v>箱体外包200×200×70；另购1557HPL原厂内板，工程图外182×182、T2.05、4φ4孔距170；网页187规格概略不作加工依据。</ns0:v>
      </ns0:c>
      <ns0:c r="E79" s="11" t="str">
        <ns0:v>https://www.hammfg.com/part/1557HPL</ns0:v>
      </ns0:c>
    </ns0:row>
    <ns0:row r="80" ht="38" hidden="0" customHeight="1">
      <ns0:c r="A80" s="12" t="str">
        <ns0:v>E07</ns0:v>
      </ns0:c>
      <ns0:c r="B80" s="12" t="str">
        <ns0:v>厂家附加来源</ns0:v>
      </ns0:c>
      <ns0:c r="C80" s="15" t="str">
        <ns0:v>打开 www.hammfg.com</ns0:v>
      </ns0:c>
      <ns0:c r="D80" s="12" t="str">
        <ns0:v>箱体外包200×200×70；另购1557HPL原厂内板，工程图外182×182、T2.05、4φ4孔距170；网页187规格概略不作加工依据。</ns0:v>
      </ns0:c>
      <ns0:c r="E80" s="12" t="str">
        <ns0:v>https://www.hammfg.com/files/parts/pdf/1557HPL.pdf</ns0:v>
      </ns0:c>
    </ns0:row>
    <ns0:row r="81" ht="38" hidden="0" customHeight="1">
      <ns0:c r="A81" s="11" t="str">
        <ns0:v>E08</ns0:v>
      </ns0:c>
      <ns0:c r="B81" s="11" t="str">
        <ns0:v>技术依据</ns0:v>
      </ns0:c>
      <ns0:c r="C81" s="16" t="str">
        <ns0:v>打开 www.gongniu.cn</ns0:v>
      </ns0:c>
      <ns0:c r="D81" s="11" t="str">
        <ns0:v>厂家GN-N1110为自接线10A/250V、1+1插口、防拉脱，原装插头可插入</ns0:v>
      </ns0:c>
      <ns0:c r="E81" s="11" t="str">
        <ns0:v>https://www.gongniu.cn/show-213-967-1.html</ns0:v>
      </ns0:c>
    </ns0:row>
    <ns0:row r="82" ht="38" hidden="0" customHeight="1">
      <ns0:c r="A82" s="12" t="str">
        <ns0:v>E09</ns0:v>
      </ns0:c>
      <ns0:c r="B82" s="12" t="str">
        <ns0:v>技术依据</ns0:v>
      </ns0:c>
      <ns0:c r="C82" s="15" t="str">
        <ns0:v>打开 www.schurter.com</ns0:v>
      </ns0:c>
      <ns0:c r="D82" s="12" t="str">
        <ns0:v>C14，IEC10A/250V，6.3×0.8快接，螺钉固定，原厂含尺寸图</ns0:v>
      </ns0:c>
      <ns0:c r="E82" s="12" t="str">
        <ns0:v>https://www.schurter.com/de/datasheet/6100-3</ns0:v>
      </ns0:c>
    </ns0:row>
    <ns0:row r="83" ht="38" hidden="0" customHeight="1">
      <ns0:c r="A83" s="11" t="str">
        <ns0:v>E09</ns0:v>
      </ns0:c>
      <ns0:c r="B83" s="11" t="str">
        <ns0:v>厂家附加来源</ns0:v>
      </ns0:c>
      <ns0:c r="C83" s="16" t="str">
        <ns0:v>打开 www.schurter.com</ns0:v>
      </ns0:c>
      <ns0:c r="D83" s="11" t="str">
        <ns0:v>C14，IEC10A/250V，6.3×0.8快接，螺钉固定，原厂含尺寸图</ns0:v>
      </ns0:c>
      <ns0:c r="E83" s="11" t="str">
        <ns0:v>https://www.schurter.com/en/pdf/english/typ_6100-3.pdf</ns0:v>
      </ns0:c>
    </ns0:row>
    <ns0:row r="84" ht="38" hidden="0" customHeight="1">
      <ns0:c r="A84" s="12" t="str">
        <ns0:v>E10</ns0:v>
      </ns0:c>
      <ns0:c r="B84" s="12" t="str">
        <ns0:v>技术依据</ns0:v>
      </ns0:c>
      <ns0:c r="C84" s="15" t="str">
        <ns0:v>打开 www.ibiger.com</ns0:v>
      </ns0:c>
      <ns0:c r="D84" s="12" t="str">
        <ns0:v>厂家列国标双头线、10A/250V、3×0.75~1.5、长度可定</ns0:v>
      </ns0:c>
      <ns0:c r="E84" s="12" t="str">
        <ns0:v>https://www.ibiger.com/Products/sxwwst.html</ns0:v>
      </ns0:c>
    </ns0:row>
    <ns0:row r="85" ht="38" hidden="0" customHeight="1">
      <ns0:c r="A85" s="11" t="str">
        <ns0:v>E10</ns0:v>
      </ns0:c>
      <ns0:c r="B85" s="11" t="str">
        <ns0:v>购买页面</ns0:v>
      </ns0:c>
      <ns0:c r="C85" s="16" t="str">
        <ns0:v>打开 item.jd.com</ns0:v>
      </ns0:c>
      <ns0:c r="D85" s="11" t="str">
        <ns0:v>厂家列国标双头线、10A/250V、3×0.75~1.5、长度可定</ns0:v>
      </ns0:c>
      <ns0:c r="E85" s="11" t="str">
        <ns0:v>https://item.jd.com/product/vUDomLiQGLyNsxPIm4fmTA.html</ns0:v>
      </ns0:c>
    </ns0:row>
    <ns0:row r="86" ht="38" hidden="0" customHeight="1">
      <ns0:c r="A86" s="12" t="str">
        <ns0:v>E11</ns0:v>
      </ns0:c>
      <ns0:c r="B86" s="12" t="str">
        <ns0:v>技术依据</ns0:v>
      </ns0:c>
      <ns0:c r="C86" s="15" t="str">
        <ns0:v>打开 www.wago.com</ns0:v>
      </ns0:c>
      <ns0:c r="D86" s="12" t="str">
        <ns0:v>灰色2.5mm²导轨直通端子，单电位，适用DIN35×7.5</ns0:v>
      </ns0:c>
      <ns0:c r="E86" s="12" t="str">
        <ns0:v>https://www.wago.com/global/rail-mount-terminal-blocks/2-conductor-through-terminal-block/p/2002-1201</ns0:v>
      </ns0:c>
    </ns0:row>
    <ns0:row r="87" ht="38" hidden="0" customHeight="1">
      <ns0:c r="A87" s="11" t="str">
        <ns0:v>E12</ns0:v>
      </ns0:c>
      <ns0:c r="B87" s="11" t="str">
        <ns0:v>技术依据</ns0:v>
      </ns0:c>
      <ns0:c r="C87" s="16" t="str">
        <ns0:v>打开 www.wago.com</ns0:v>
      </ns0:c>
      <ns0:c r="D87" s="11" t="str">
        <ns0:v>蓝色2.5mm²导轨直通端子，单电位，适用DIN35×7.5</ns0:v>
      </ns0:c>
      <ns0:c r="E87" s="11" t="str">
        <ns0:v>https://www.wago.com/gb/rail-mount-terminal-blocks/2-conductor-through-terminal-block/p/2002-1204</ns0:v>
      </ns0:c>
    </ns0:row>
    <ns0:row r="88" ht="38" hidden="0" customHeight="1">
      <ns0:c r="A88" s="12" t="str">
        <ns0:v>E13</ns0:v>
      </ns0:c>
      <ns0:c r="B88" s="12" t="str">
        <ns0:v>技术依据</ns0:v>
      </ns0:c>
      <ns0:c r="C88" s="15" t="str">
        <ns0:v>打开 www.wago.com</ns0:v>
      </ns0:c>
      <ns0:c r="D88" s="12" t="str">
        <ns0:v>黄绿2.5mm²专用PE端子，适用DIN35×7.5</ns0:v>
      </ns0:c>
      <ns0:c r="E88" s="12" t="str">
        <ns0:v>https://www.wago.com/de/reihenklemmen/2-leiter-schutzleiterklemme/p/2002-1207</ns0:v>
      </ns0:c>
    </ns0:row>
    <ns0:row r="89" ht="38" hidden="0" customHeight="1">
      <ns0:c r="A89" s="11" t="str">
        <ns0:v>E14</ns0:v>
      </ns0:c>
      <ns0:c r="B89" s="11" t="str">
        <ns0:v>技术依据</ns0:v>
      </ns0:c>
      <ns0:c r="C89" s="16" t="str">
        <ns0:v>打开 www.wago.com</ns0:v>
      </ns0:c>
      <ns0:c r="D89" s="11" t="str">
        <ns0:v>6位连续跨接桥，厂家2002系列配套</ns0:v>
      </ns0:c>
      <ns0:c r="E89" s="11" t="str">
        <ns0:v>https://www.wago.com/gb/rail-mount-terminal-blocks/jumper/p/2002-406</ns0:v>
      </ns0:c>
    </ns0:row>
    <ns0:row r="90" ht="38" hidden="0" customHeight="1">
      <ns0:c r="A90" s="12" t="str">
        <ns0:v>QF0</ns0:v>
      </ns0:c>
      <ns0:c r="B90" s="12" t="str">
        <ns0:v>技术依据</ns0:v>
      </ns0:c>
      <ns0:c r="C90" s="15" t="str">
        <ns0:v>打开 www.se.com</ns0:v>
      </ns0:c>
      <ns0:c r="D90" s="12" t="str">
        <ns0:v>官方10A、1P+N、C曲线、6kA、30mA、TypeA；可隔离L/N</ns0:v>
      </ns0:c>
      <ns0:c r="E90" s="12" t="str">
        <ns0:v>https://www.se.com/in/en/product/A9D32610/acti-9-idpn-n-vigi-rcbo-1p%2Bn-10a-c-curve-6000a-30ma-type-a/</ns0:v>
      </ns0:c>
    </ns0:row>
    <ns0:row r="91" ht="38" hidden="0" customHeight="1">
      <ns0:c r="A91" s="11" t="str">
        <ns0:v>E18</ns0:v>
      </ns0:c>
      <ns0:c r="B91" s="11" t="str">
        <ns0:v>技术依据</ns0:v>
      </ns0:c>
      <ns0:c r="C91" s="16" t="str">
        <ns0:v>打开 www.schurter.com</ns0:v>
      </ns0:c>
      <ns0:c r="D91" s="11" t="str">
        <ns0:v>原厂列适配6100-3；尺寸31.2×23.5×51，出线口内径8.5、外颈径11.5。</ns0:v>
      </ns0:c>
      <ns0:c r="E91" s="11" t="str">
        <ns0:v>https://www.schurter.com/en/datasheet/RC320</ns0:v>
      </ns0:c>
    </ns0:row>
    <ns0:row r="92" ht="38" hidden="0" customHeight="1">
      <ns0:c r="A92" s="12" t="str">
        <ns0:v>E18</ns0:v>
      </ns0:c>
      <ns0:c r="B92" s="12" t="str">
        <ns0:v>厂家附加来源</ns0:v>
      </ns0:c>
      <ns0:c r="C92" s="15" t="str">
        <ns0:v>打开 www.schurter.com</ns0:v>
      </ns0:c>
      <ns0:c r="D92" s="12" t="str">
        <ns0:v>原厂列适配6100-3；尺寸31.2×23.5×51，出线口内径8.5、外颈径11.5。</ns0:v>
      </ns0:c>
      <ns0:c r="E92" s="12" t="str">
        <ns0:v>https://www.schurter.com/en/datasheet/typ_RC320.pdf</ns0:v>
      </ns0:c>
    </ns0:row>
    <ns0:row r="93" ht="38" hidden="0" customHeight="1">
      <ns0:c r="A93" s="11" t="str">
        <ns0:v>E18</ns0:v>
      </ns0:c>
      <ns0:c r="B93" s="11" t="str">
        <ns0:v>购买页面</ns0:v>
      </ns0:c>
      <ns0:c r="C93" s="16" t="str">
        <ns0:v>打开 eu.mouser.com</ns0:v>
      </ns0:c>
      <ns0:c r="D93" s="11" t="str">
        <ns0:v>原厂列适配6100-3；尺寸31.2×23.5×51，出线口内径8.5、外颈径11.5。</ns0:v>
      </ns0:c>
      <ns0:c r="E93" s="11" t="str">
        <ns0:v>https://eu.mouser.com/en/ProductDetail/Schurter/3-125-663?qs=7D1LtPJG0i0StJU2LYjKow%3D%3D</ns0:v>
      </ns0:c>
    </ns0:row>
    <ns0:row r="94" ht="38" hidden="0" customHeight="1">
      <ns0:c r="A94" s="12" t="str">
        <ns0:v>E19</ns0:v>
      </ns0:c>
      <ns0:c r="B94" s="12" t="str">
        <ns0:v>技术依据</ns0:v>
      </ns0:c>
      <ns0:c r="C94" s="15" t="str">
        <ns0:v>打开 www.te.com</ns0:v>
      </ns0:c>
      <ns0:c r="D94" s="12" t="str">
        <ns0:v>全绝缘母快接6.35×0.81，适1~1.5mm²，直型长21.6，导体绝缘径≤3.3，尼龙绝缘。</ns0:v>
      </ns0:c>
      <ns0:c r="E94" s="12" t="str">
        <ns0:v>https://www.te.com/en/product-735278.html</ns0:v>
      </ns0:c>
    </ns0:row>
    <ns0:row r="95" ht="38" hidden="0" customHeight="1">
      <ns0:c r="A95" s="11" t="str">
        <ns0:v>E19</ns0:v>
      </ns0:c>
      <ns0:c r="B95" s="11" t="str">
        <ns0:v>厂家附加来源</ns0:v>
      </ns0:c>
      <ns0:c r="C95" s="16" t="str">
        <ns0:v>打开 www.te.com</ns0:v>
      </ns0:c>
      <ns0:c r="D95" s="11" t="str">
        <ns0:v>全绝缘母快接6.35×0.81，适1~1.5mm²，直型长21.6，导体绝缘径≤3.3，尼龙绝缘。</ns0:v>
      </ns0:c>
      <ns0:c r="E95" s="11" t="str">
        <ns0:v>https://www.te.com/commerce/DocumentDelivery/DDEController?Action=srchrtrv&amp;DocFormat=pdf&amp;DocLang=English&amp;DocNm=735278&amp;DocType=Customer+Drawing&amp;PartCntxt=735278</ns0:v>
      </ns0:c>
    </ns0:row>
    <ns0:row r="96" ht="38" hidden="0" customHeight="1">
      <ns0:c r="A96" s="12" t="str">
        <ns0:v>E19</ns0:v>
      </ns0:c>
      <ns0:c r="B96" s="12" t="str">
        <ns0:v>购买页面</ns0:v>
      </ns0:c>
      <ns0:c r="C96" s="15" t="str">
        <ns0:v>打开 www.digikey.com</ns0:v>
      </ns0:c>
      <ns0:c r="D96" s="12" t="str">
        <ns0:v>全绝缘母快接6.35×0.81，适1~1.5mm²，直型长21.6，导体绝缘径≤3.3，尼龙绝缘。</ns0:v>
      </ns0:c>
      <ns0:c r="E96" s="12" t="str">
        <ns0:v>https://www.digikey.com/en/products/detail/te-connectivity-amp-connectors/735278/2054388</ns0:v>
      </ns0:c>
    </ns0:row>
    <ns0:row r="97" ht="38" hidden="0" customHeight="1">
      <ns0:c r="A97" s="11" t="str">
        <ns0:v>E20</ns0:v>
      </ns0:c>
      <ns0:c r="B97" s="11" t="str">
        <ns0:v>技术依据</ns0:v>
      </ns0:c>
      <ns0:c r="C97" s="16" t="str">
        <ns0:v>打开 www.schurter.com</ns0:v>
      </ns0:c>
      <ns0:c r="D97" s="11" t="str">
        <ns0:v>按SCHURTER6100.3300厂家2×φ3.5固定孔及沉孔配置。</ns0:v>
      </ns0:c>
      <ns0:c r="E97" s="11" t="str">
        <ns0:v>https://www.schurter.com/en/pdf/english/typ_6100-3.pdf</ns0:v>
      </ns0:c>
    </ns0:row>
    <ns0:row r="98" ht="38" hidden="0" customHeight="1">
      <ns0:c r="A98" s="12" t="str">
        <ns0:v>E21</ns0:v>
      </ns0:c>
      <ns0:c r="B98" s="12" t="str">
        <ns0:v>待补来源</ns0:v>
      </ns0:c>
      <ns0:c r="C98" s="15" t="str">
        <ns0:v>尚无可核直接链接</ns0:v>
      </ns0:c>
      <ns0:c r="D98" s="12" t="str">
        <ns0:v>活动线材按厂家允许弯曲条件选配；250维护余量不当作总领料长度</ns0:v>
      </ns0:c>
      <ns0:c r="E98" s="12" t="str"/>
    </ns0:row>
    <ns0:row r="99" ht="38" hidden="0" customHeight="1">
      <ns0:c r="A99" s="11" t="str">
        <ns0:v>E22</ns0:v>
      </ns0:c>
      <ns0:c r="B99" s="11" t="str">
        <ns0:v>技术依据</ns0:v>
      </ns0:c>
      <ns0:c r="C99" s="16" t="str">
        <ns0:v>打开 www.jst-mfg.com</ns0:v>
      </ns0:c>
      <ns0:c r="D99" s="11" t="str">
        <ns0:v>M4环端，厂家适线1.04~2.63mm²；匹配2.5mm²移动端。</ns0:v>
      </ns0:c>
      <ns0:c r="E99" s="11" t="str">
        <ns0:v>https://www.jst-mfg.com/product/pdf/eng/eRING2.pdf</ns0:v>
      </ns0:c>
    </ns0:row>
    <ns0:row r="100" ht="38" hidden="0" customHeight="1">
      <ns0:c r="A100" s="12" t="str">
        <ns0:v>E22</ns0:v>
      </ns0:c>
      <ns0:c r="B100" s="12" t="str">
        <ns0:v>购买页面</ns0:v>
      </ns0:c>
      <ns0:c r="C100" s="15" t="str">
        <ns0:v>打开 cz.mouser.com</ns0:v>
      </ns0:c>
      <ns0:c r="D100" s="12" t="str">
        <ns0:v>M4环端，厂家适线1.04~2.63mm²；匹配2.5mm²移动端。</ns0:v>
      </ns0:c>
      <ns0:c r="E100" s="12" t="str">
        <ns0:v>https://cz.mouser.com/ProductDetail/JST-Commercial/FV2-4?qs=cIziFXvMxOUAUZffk7L1Xw%3D%3D</ns0:v>
      </ns0:c>
    </ns0:row>
    <ns0:row r="101" ht="38" hidden="0" customHeight="1">
      <ns0:c r="A101" s="11" t="str">
        <ns0:v>E23</ns0:v>
      </ns0:c>
      <ns0:c r="B101" s="11" t="str">
        <ns0:v>技术依据</ns0:v>
      </ns0:c>
      <ns0:c r="C101" s="16" t="str">
        <ns0:v>打开 www.jst-mfg.com</ns0:v>
      </ns0:c>
      <ns0:c r="D101" s="11" t="str">
        <ns0:v>M5环端，厂家适线1.04~2.63mm²；匹配2.5mm²固定端。</ns0:v>
      </ns0:c>
      <ns0:c r="E101" s="11" t="str">
        <ns0:v>https://www.jst-mfg.com/product/pdf/eng/eRING2.pdf</ns0:v>
      </ns0:c>
    </ns0:row>
    <ns0:row r="102" ht="38" hidden="0" customHeight="1">
      <ns0:c r="A102" s="12" t="str">
        <ns0:v>E24</ns0:v>
      </ns0:c>
      <ns0:c r="B102" s="12" t="str">
        <ns0:v>待补来源</ns0:v>
      </ns0:c>
      <ns0:c r="C102" s="15" t="str">
        <ns0:v>尚无可核直接链接</ns0:v>
      </ns0:c>
      <ns0:c r="D102" s="12" t="str">
        <ns0:v>每移动组件1套，螺纹向上；去漆、防松并测连续性，PE不兼吊线</ns0:v>
      </ns0:c>
      <ns0:c r="E102" s="12" t="str"/>
    </ns0:row>
    <ns0:row r="103" ht="38" hidden="0" customHeight="1">
      <ns0:c r="A103" s="11" t="str">
        <ns0:v>E06</ns0:v>
      </ns0:c>
      <ns0:c r="B103" s="11" t="str">
        <ns0:v>待补来源</ns0:v>
      </ns0:c>
      <ns0:c r="C103" s="16" t="str">
        <ns0:v>尚无可核直接链接</ns0:v>
      </ns0:c>
      <ns0:c r="D103" s="11" t="str">
        <ns0:v>数量按接线点配足，不重复采购E11~E14端子或跨接桥；实际套管内径按导体和端头外包确定</ns0:v>
      </ns0:c>
      <ns0:c r="E103" s="11" t="str"/>
    </ns0:row>
    <ns0:row r="104" ht="38" hidden="0" customHeight="1">
      <ns0:c r="A104" s="12" t="str">
        <ns0:v>E15</ns0:v>
      </ns0:c>
      <ns0:c r="B104" s="12" t="str">
        <ns0:v>厂家附加来源</ns0:v>
      </ns0:c>
      <ns0:c r="C104" s="15" t="str">
        <ns0:v>打开 www.wago.com</ns0:v>
      </ns0:c>
      <ns0:c r="D104" s="12" t="str">
        <ns0:v>DIN35×7.5长150；19端子宽98.8＋端挡2×6＋隔板3×0.8＝113.2，轨两端各余18.4；箱内排序见terminalLayout。 定型210-112为35×7.5、T1、EN60715；采购2m一支截150，腰宽/R/槽孔模板仍按厂家实物。</ns0:v>
      </ns0:c>
      <ns0:c r="E104" s="12" t="str">
        <ns0:v>https://www.wago.com/gb/accessories/screwless-end-stop/p/249-116</ns0:v>
      </ns0:c>
    </ns0:row>
    <ns0:row r="105" ht="38" hidden="0" customHeight="1">
      <ns0:c r="A105" s="11" t="str">
        <ns0:v>E15</ns0:v>
      </ns0:c>
      <ns0:c r="B105" s="11" t="str">
        <ns0:v>厂家附加来源</ns0:v>
      </ns0:c>
      <ns0:c r="C105" s="16" t="str">
        <ns0:v>打开 www.wago.com</ns0:v>
      </ns0:c>
      <ns0:c r="D105" s="11" t="str">
        <ns0:v>DIN35×7.5长150；19端子宽98.8＋端挡2×6＋隔板3×0.8＝113.2，轨两端各余18.4；箱内排序见terminalLayout。 定型210-112为35×7.5、T1、EN60715；采购2m一支截150，腰宽/R/槽孔模板仍按厂家实物。</ns0:v>
      </ns0:c>
      <ns0:c r="E105" s="11" t="str">
        <ns0:v>https://www.wago.com/us/rail-chassis-terminal-blocks/topjobs-end-intermediate-plate/p/2002-1291</ns0:v>
      </ns0:c>
    </ns0:row>
    <ns0:row r="106" ht="38" hidden="0" customHeight="1">
      <ns0:c r="A106" s="12" t="str">
        <ns0:v>E15</ns0:v>
      </ns0:c>
      <ns0:c r="B106" s="12" t="str">
        <ns0:v>厂家附加来源</ns0:v>
      </ns0:c>
      <ns0:c r="C106" s="15" t="str">
        <ns0:v>打开 www.wago.com</ns0:v>
      </ns0:c>
      <ns0:c r="D106" s="12" t="str">
        <ns0:v>DIN35×7.5长150；19端子宽98.8＋端挡2×6＋隔板3×0.8＝113.2，轨两端各余18.4；箱内排序见terminalLayout。 定型210-112为35×7.5、T1、EN60715；采购2m一支截150，腰宽/R/槽孔模板仍按厂家实物。</ns0:v>
      </ns0:c>
      <ns0:c r="E106" s="12" t="str">
        <ns0:v>https://www.wago.com/global/accessories/steel-carrier-rail/p/210-112</ns0:v>
      </ns0:c>
    </ns0:row>
    <ns0:row r="107" ht="38" hidden="0" customHeight="1">
      <ns0:c r="A107" s="11" t="str">
        <ns0:v>E16</ns0:v>
      </ns0:c>
      <ns0:c r="B107" s="11" t="str">
        <ns0:v>技术依据</ns0:v>
      </ns0:c>
      <ns0:c r="C107" s="16" t="str">
        <ns0:v>打开 www.jst-mfg.com</ns0:v>
      </ns0:c>
      <ns0:c r="D107" s="11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7" s="11" t="str">
        <ns0:v>https://www.jst-mfg.com/product/pdf/eng/eRING2.pdf</ns0:v>
      </ns0:c>
    </ns0:row>
    <ns0:row r="108" ht="38" hidden="0" customHeight="1">
      <ns0:c r="A108" s="12" t="str">
        <ns0:v>E16</ns0:v>
      </ns0:c>
      <ns0:c r="B108" s="12" t="str">
        <ns0:v>购买页面</ns0:v>
      </ns0:c>
      <ns0:c r="C108" s="15" t="str">
        <ns0:v>打开 www.vital-parts.co.uk</ns0:v>
      </ns0:c>
      <ns0:c r="D108" s="12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8" s="12" t="str">
        <ns0:v>https://www.vital-parts.co.uk/male-threaded-weld-studs-iso-13918-type-pt/29898-weld13918-m5-20-cop</ns0:v>
      </ns0:c>
    </ns0:row>
    <ns0:row r="109" ht="38" hidden="0" customHeight="1">
      <ns0:c r="A109" s="11" t="str">
        <ns0:v>E16</ns0:v>
      </ns0:c>
      <ns0:c r="B109" s="11" t="str">
        <ns0:v>厂家附加来源</ns0:v>
      </ns0:c>
      <ns0:c r="C109" s="16" t="str">
        <ns0:v>打开 www.jst-mfg.com</ns0:v>
      </ns0:c>
      <ns0:c r="D109" s="11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09" s="11" t="str">
        <ns0:v>https://www.jst-mfg.com/product/pdf/eng/eRING2.pdf</ns0:v>
      </ns0:c>
    </ns0:row>
    <ns0:row r="110" ht="38" hidden="0" customHeight="1">
      <ns0:c r="A110" s="12" t="str">
        <ns0:v>E16</ns0:v>
      </ns0:c>
      <ns0:c r="B110" s="12" t="str">
        <ns0:v>厂家附加来源</ns0:v>
      </ns0:c>
      <ns0:c r="C110" s="15" t="str">
        <ns0:v>打开 www.atslamberti.com</ns0:v>
      </ns0:c>
      <ns0:c r="D110" s="12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10" s="12" t="str">
        <ns0:v>https://www.atslamberti.com/files/00364/weldingstudsa.t.srev.2of17042024.pdf</ns0:v>
      </ns0:c>
    </ns0:row>
    <ns0:row r="111" ht="38" hidden="0" customHeight="1">
      <ns0:c r="A111" s="11" t="str">
        <ns0:v>E16</ns0:v>
      </ns0:c>
      <ns0:c r="B111" s="11" t="str">
        <ns0:v>厂家附加来源</ns0:v>
      </ns0:c>
      <ns0:c r="C111" s="16" t="str">
        <ns0:v>打开 www.phoenixcontact.com</ns0:v>
      </ns0:c>
      <ns0:c r="D111" s="11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11" s="11" t="str">
        <ns0:v>https://www.phoenixcontact.com/en-us/products/ferrule-ai-25-10-bu-3202533</ns0:v>
      </ns0:c>
    </ns0:row>
    <ns0:row r="112" ht="38" hidden="0" customHeight="1">
      <ns0:c r="A112" s="12" t="str">
        <ns0:v>E16</ns0:v>
      </ns0:c>
      <ns0:c r="B112" s="12" t="str">
        <ns0:v>厂家附加来源</ns0:v>
      </ns0:c>
      <ns0:c r="C112" s="15" t="str">
        <ns0:v>打开 eshop.wuerth.de</ns0:v>
      </ns0:c>
      <ns0:c r="D112" s="12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12" s="12" t="str">
        <ns0:v>https://eshop.wuerth.de/Zahnscheibe-aussengezahnt-Form-A-DIN-6797-Edelstahl-A2-SHB-ZA-DIN6797-A2-A-D53/04310215.sku/de/DE/EUR/</ns0:v>
      </ns0:c>
    </ns0:row>
    <ns0:row r="113" ht="38" hidden="0" customHeight="1">
      <ns0:c r="A113" s="11" t="str">
        <ns0:v>E16</ns0:v>
      </ns0:c>
      <ns0:c r="B113" s="11" t="str">
        <ns0:v>厂家附加来源</ns0:v>
      </ns0:c>
      <ns0:c r="C113" s="16" t="str">
        <ns0:v>打开 eshop.wuerth.de</ns0:v>
      </ns0:c>
      <ns0:c r="D113" s="11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13" s="11" t="str">
        <ns0:v>https://eshop.wuerth.de/Hexagon-nut-low-profile-with-clamping-piece-non-metal-insert-DIN-985-A4-stainless-steel-plain-NUT-HEX-SLOK-DIN985-A4-WS8-M5/03975.sku/en/US/EUR/</ns0:v>
      </ns0:c>
    </ns0:row>
    <ns0:row r="114" ht="38" hidden="0" customHeight="1">
      <ns0:c r="A114" s="12" t="str">
        <ns0:v>E16</ns0:v>
      </ns0:c>
      <ns0:c r="B114" s="12" t="str">
        <ns0:v>厂家附加来源</ns0:v>
      </ns0:c>
      <ns0:c r="C114" s="15" t="str">
        <ns0:v>打开 marketplacemedia.witglobal.net</ns0:v>
      </ns0:c>
      <ns0:c r="D114" s="12" t="str">
        <ns0:v>7条线分别为XPE6→PE0、PE0→焊接主框架、其余3根螺接梁→主框架、两活动门→主框架；JST FV2-5 11只、FV2-4 2只，WAGO侧1端用Phoenix3202533（AI2.5-10BU）冷压套管，不另算环端。</ns0:v>
      </ns0:c>
      <ns0:c r="E114" s="12" t="str">
        <ns0:v>https://marketplacemedia.witglobal.net/source/marketplace/stmedia/wuerth/documents/documents/std.lang.all/642388974.pdf</ns0:v>
      </ns0:c>
    </ns0:row>
    <ns0:row r="115" ht="38" hidden="0" customHeight="1">
      <ns0:c r="A115" s="11" t="str">
        <ns0:v>E04</ns0:v>
      </ns0:c>
      <ns0:c r="B115" s="11" t="str">
        <ns0:v>待补来源</ns0:v>
      </ns0:c>
      <ns0:c r="C115" s="16" t="str">
        <ns0:v>尚无可核直接链接</ns0:v>
      </ns0:c>
      <ns0:c r="D115" s="11" t="str">
        <ns0:v>W00外径≤8.5且厂家静态弯曲半径≤30；活动段另核；不剪改排插原线</ns0:v>
      </ns0:c>
      <ns0:c r="E115" s="11" t="str"/>
    </ns0:row>
    <ns0:row r="116" ht="38" hidden="0" customHeight="1">
      <ns0:c r="A116" s="12" t="str">
        <ns0:v>E05</ns0:v>
      </ns0:c>
      <ns0:c r="B116" s="12" t="str">
        <ns0:v>待补来源</ns0:v>
      </ns0:c>
      <ns0:c r="C116" s="15" t="str">
        <ns0:v>尚无可核直接链接</ns0:v>
      </ns0:c>
      <ns0:c r="D116" s="12" t="str">
        <ns0:v>源≥25管须核外径，DN25不等于外径25；不进入桌腿</ns0:v>
      </ns0:c>
      <ns0:c r="E116" s="12" t="str"/>
    </ns0:row>
    <ns0:row r="117" ht="38" hidden="0" customHeight="1">
      <ns0:c r="A117" s="11" t="str">
        <ns0:v>E17</ns0:v>
      </ns0:c>
      <ns0:c r="B117" s="11" t="str">
        <ns0:v>待补来源</ns0:v>
      </ns0:c>
      <ns0:c r="C117" s="16" t="str">
        <ns0:v>尚无可核直接链接</ns0:v>
      </ns0:c>
      <ns0:c r="D117" s="11" t="str">
        <ns0:v>X0独立夹护套；后罩/快接不抗拉；不破坏原装护套</ns0:v>
      </ns0:c>
      <ns0:c r="E117" s="11" t="str"/>
    </ns0:row>
    <ns0:row r="118" ht="38" hidden="0" customHeight="1">
      <ns0:c r="A118" s="12" t="str">
        <ns0:v>H05.1</ns0:v>
      </ns0:c>
      <ns0:c r="B118" s="12" t="str">
        <ns0:v>购买页面</ns0:v>
      </ns0:c>
      <ns0:c r="C118" s="15" t="str">
        <ns0:v>打开 detail.tmall.com</ns0:v>
      </ns0:c>
      <ns0:c r="D118" s="12" t="str">
        <ns0:v>每套2×2套；；；</ns0:v>
      </ns0:c>
      <ns0:c r="E118" s="12" t="str">
        <ns0:v>https://detail.tmall.com/item.htm?id=630347182725</ns0:v>
      </ns0:c>
    </ns0:row>
    <ns0:row r="119" ht="38" hidden="0" customHeight="1">
      <ns0:c r="A119" s="11" t="str">
        <ns0:v>H12.1</ns0:v>
      </ns0:c>
      <ns0:c r="B119" s="11" t="str">
        <ns0:v>购买页面</ns0:v>
      </ns0:c>
      <ns0:c r="C119" s="16" t="str">
        <ns0:v>打开 www.vital-parts.co.uk</ns0:v>
      </ns0:c>
      <ns0:c r="D119" s="11" t="str">
        <ns0:v>每套1×16套；；；</ns0:v>
      </ns0:c>
      <ns0:c r="E119" s="11" t="str">
        <ns0:v>https://www.vital-parts.co.uk/phillips-pan-head-machine-screws-din-7985h/17017-pph7985h-m3-8-a2</ns0:v>
      </ns0:c>
    </ns0:row>
    <ns0:row r="120" ht="38" hidden="0" customHeight="1">
      <ns0:c r="A120" s="12" t="str">
        <ns0:v>H12.2</ns0:v>
      </ns0:c>
      <ns0:c r="B120" s="12" t="str">
        <ns0:v>购买页面</ns0:v>
      </ns0:c>
      <ns0:c r="C120" s="15" t="str">
        <ns0:v>打开 www.vital-parts.co.uk</ns0:v>
      </ns0:c>
      <ns0:c r="D120" s="12" t="str">
        <ns0:v>每套1×16套；；；</ns0:v>
      </ns0:c>
      <ns0:c r="E120" s="12" t="str">
        <ns0:v>https://www.vital-parts.co.uk/stainless-steel-2xd-form-a-flat-washers-din-125a/28945-wa125-m3-a2</ns0:v>
      </ns0:c>
    </ns0:row>
    <ns0:row r="121" ht="38" hidden="0" customHeight="1">
      <ns0:c r="A121" s="11" t="str">
        <ns0:v>H12.3</ns0:v>
      </ns0:c>
      <ns0:c r="B121" s="11" t="str">
        <ns0:v>购买页面</ns0:v>
      </ns0:c>
      <ns0:c r="C121" s="16" t="str">
        <ns0:v>打开 a2stainless.co.uk</ns0:v>
      </ns0:c>
      <ns0:c r="D121" s="11" t="str">
        <ns0:v>每套1×16套；；；</ns0:v>
      </ns0:c>
      <ns0:c r="E121" s="11" t="str">
        <ns0:v>https://a2stainless.co.uk/product/m3-nyloc-nut-din-985-a2/</ns0:v>
      </ns0:c>
    </ns0:row>
    <ns0:row r="122" ht="38" hidden="0" customHeight="1">
      <ns0:c r="A122" s="12" t="str">
        <ns0:v>H15.1</ns0:v>
      </ns0:c>
      <ns0:c r="B122" s="12" t="str">
        <ns0:v>购买页面</ns0:v>
      </ns0:c>
      <ns0:c r="C122" s="15" t="str">
        <ns0:v>打开 www.fixaball.co.uk</ns0:v>
      </ns0:c>
      <ns0:c r="D122" s="12" t="str">
        <ns0:v>每套1×16套；；；</ns0:v>
      </ns0:c>
      <ns0:c r="E122" s="12" t="str">
        <ns0:v>https://www.fixaball.co.uk/products/m6-socket-cap-screw-high-tensile-12-9-zinc-din-912</ns0:v>
      </ns0:c>
    </ns0:row>
    <ns0:row r="123" ht="38" hidden="0" customHeight="1">
      <ns0:c r="A123" s="11" t="str">
        <ns0:v>H15.2</ns0:v>
      </ns0:c>
      <ns0:c r="B123" s="11" t="str">
        <ns0:v>购买页面</ns0:v>
      </ns0:c>
      <ns0:c r="C123" s="16" t="str">
        <ns0:v>打开 www.mofakult.fr</ns0:v>
      </ns0:c>
      <ns0:c r="D123" s="11" t="str">
        <ns0:v>每套1×16套；；；</ns0:v>
      </ns0:c>
      <ns0:c r="E123" s="11" t="str">
        <ns0:v>https://www.mofakult.fr/en/washer-m6-6-4-12-1-6-galvanized-29733</ns0:v>
      </ns0:c>
    </ns0:row>
    <ns0:row r="124" ht="38" hidden="0" customHeight="1">
      <ns0:c r="A124" s="12" t="str">
        <ns0:v>H17.1</ns0:v>
      </ns0:c>
      <ns0:c r="B124" s="12" t="str">
        <ns0:v>购买页面</ns0:v>
      </ns0:c>
      <ns0:c r="C124" s="15" t="str">
        <ns0:v>打开 www.fastenersfixingsandtools.co.uk</ns0:v>
      </ns0:c>
      <ns0:c r="D124" s="12" t="str">
        <ns0:v>每套1×8套；；；</ns0:v>
      </ns0:c>
      <ns0:c r="E124" s="12" t="str">
        <ns0:v>https://www.fastenersfixingsandtools.co.uk/products/soc-cap-for-zinc-m4x25odin-912-grd129-300mm-keyoo</ns0:v>
      </ns0:c>
    </ns0:row>
    <ns0:row r="125" ht="38" hidden="0" customHeight="1">
      <ns0:c r="A125" s="11" t="str">
        <ns0:v>H17.2</ns0:v>
      </ns0:c>
      <ns0:c r="B125" s="11" t="str">
        <ns0:v>购买页面</ns0:v>
      </ns0:c>
      <ns0:c r="C125" s="16" t="str">
        <ns0:v>打开 www.fastco.co.uk</ns0:v>
      </ns0:c>
      <ns0:c r="D125" s="11" t="str">
        <ns0:v>每套1×8套；；；</ns0:v>
      </ns0:c>
      <ns0:c r="E125" s="11" t="str">
        <ns0:v>https://www.fastco.co.uk/m4-washer-form-a-zinc-plated-pack-of-100.html</ns0:v>
      </ns0:c>
    </ns0:row>
    <ns0:row r="126" ht="38" hidden="0" customHeight="1">
      <ns0:c r="A126" s="12" t="str">
        <ns0:v>H24.1</ns0:v>
      </ns0:c>
      <ns0:c r="B126" s="12" t="str">
        <ns0:v>购买页面</ns0:v>
      </ns0:c>
      <ns0:c r="C126" s="15" t="str">
        <ns0:v>打开 www.vital-parts.co.uk</ns0:v>
      </ns0:c>
      <ns0:c r="D126" s="12" t="str">
        <ns0:v>每套1×8套；；；</ns0:v>
      </ns0:c>
      <ns0:c r="E126" s="12" t="str">
        <ns0:v>https://www.vital-parts.co.uk/phillips-pan-head-machine-screws-din-7985h/17031-pph7985h-m4-16-a2</ns0:v>
      </ns0:c>
    </ns0:row>
    <ns0:row r="127" ht="38" hidden="0" customHeight="1">
      <ns0:c r="A127" s="11" t="str">
        <ns0:v>H24.2</ns0:v>
      </ns0:c>
      <ns0:c r="B127" s="11" t="str">
        <ns0:v>购买页面</ns0:v>
      </ns0:c>
      <ns0:c r="C127" s="16" t="str">
        <ns0:v>打开 www.classicfasteners.com.au</ns0:v>
      </ns0:c>
      <ns0:c r="D127" s="11" t="str">
        <ns0:v>每套2×8套；；；</ns0:v>
      </ns0:c>
      <ns0:c r="E127" s="11" t="str">
        <ns0:v>https://www.classicfasteners.com.au/m4-x-12-x-1-0-flat-washer-stainless-304-din9021-qty-200/</ns0:v>
      </ns0:c>
    </ns0:row>
    <ns0:row r="128" ht="38" hidden="0" customHeight="1">
      <ns0:c r="A128" s="12" t="str">
        <ns0:v>H24.3</ns0:v>
      </ns0:c>
      <ns0:c r="B128" s="12" t="str">
        <ns0:v>购买页面</ns0:v>
      </ns0:c>
      <ns0:c r="C128" s="15" t="str">
        <ns0:v>打开 www.orbitalfasteners.co.uk</ns0:v>
      </ns0:c>
      <ns0:c r="D128" s="12" t="str">
        <ns0:v>每套1×8套；；；</ns0:v>
      </ns0:c>
      <ns0:c r="E128" s="12" t="str">
        <ns0:v>https://www.orbitalfasteners.co.uk/products/m4-nyloc-nuts-stainless-steel-a2-304-din-985-type-t</ns0:v>
      </ns0:c>
    </ns0:row>
    <ns0:row r="129" ht="38" hidden="0" customHeight="1">
      <ns0:c r="A129" s="11" t="str">
        <ns0:v>E07.1</ns0:v>
      </ns0:c>
      <ns0:c r="B129" s="11" t="str">
        <ns0:v>技术依据</ns0:v>
      </ns0:c>
      <ns0:c r="C129" s="16" t="str">
        <ns0:v>打开 www.hammfg.com</ns0:v>
      </ns0:c>
      <ns0:c r="D129" s="11" t="str">
        <ns0:v>同版电气设计绝对数量；；；200×200×70；含厂家原装外脚配置按到货复核</ns0:v>
      </ns0:c>
      <ns0:c r="E129" s="11" t="str">
        <ns0:v>https://www.hammfg.com/part/1557HA2GY</ns0:v>
      </ns0:c>
    </ns0:row>
    <ns0:row r="130" ht="38" hidden="0" customHeight="1">
      <ns0:c r="A130" s="12" t="str">
        <ns0:v>E07.1</ns0:v>
      </ns0:c>
      <ns0:c r="B130" s="12" t="str">
        <ns0:v>购买页面</ns0:v>
      </ns0:c>
      <ns0:c r="C130" s="15" t="str">
        <ns0:v>打开 twen.rs-online.com</ns0:v>
      </ns0:c>
      <ns0:c r="D130" s="12" t="str">
        <ns0:v>同版电气设计绝对数量；；；200×200×70；含厂家原装外脚配置按到货复核</ns0:v>
      </ns0:c>
      <ns0:c r="E130" s="12" t="str">
        <ns0:v>https://twen.rs-online.com/web/p/pcb-mounting-enclosures/1974346</ns0:v>
      </ns0:c>
    </ns0:row>
    <ns0:row r="131" ht="38" hidden="0" customHeight="1">
      <ns0:c r="A131" s="11" t="str">
        <ns0:v>E07.2</ns0:v>
      </ns0:c>
      <ns0:c r="B131" s="11" t="str">
        <ns0:v>技术依据</ns0:v>
      </ns0:c>
      <ns0:c r="C131" s="16" t="str">
        <ns0:v>打开 www.hammfg.com</ns0:v>
      </ns0:c>
      <ns0:c r="D131" s="11" t="str">
        <ns0:v>同版电气设计绝对数量；；；独立订购，非默认随箱；182×182×2.05，孔距170</ns0:v>
      </ns0:c>
      <ns0:c r="E131" s="11" t="str">
        <ns0:v>https://www.hammfg.com/part/1557HPL</ns0:v>
      </ns0:c>
    </ns0:row>
    <ns0:row r="132" ht="38" hidden="0" customHeight="1">
      <ns0:c r="A132" s="12" t="str">
        <ns0:v>E07.2</ns0:v>
      </ns0:c>
      <ns0:c r="B132" s="12" t="str">
        <ns0:v>购买页面</ns0:v>
      </ns0:c>
      <ns0:c r="C132" s="15" t="str">
        <ns0:v>打开 www.mouser.com</ns0:v>
      </ns0:c>
      <ns0:c r="D132" s="12" t="str">
        <ns0:v>同版电气设计绝对数量；；；独立订购，非默认随箱；182×182×2.05，孔距170</ns0:v>
      </ns0:c>
      <ns0:c r="E132" s="12" t="str">
        <ns0:v>https://www.mouser.com/en/ProductDetail/Hammond-Manufacturing/1557HPL?qs=7D1LtPJG0i0ihGkjW47i8w%3D%3D</ns0:v>
      </ns0:c>
    </ns0:row>
    <ns0:row r="133" ht="38" hidden="0" customHeight="1">
      <ns0:c r="A133" s="11" t="str">
        <ns0:v>E15.1</ns0:v>
      </ns0:c>
      <ns0:c r="B133" s="11" t="str">
        <ns0:v>技术依据</ns0:v>
      </ns0:c>
      <ns0:c r="C133" s="16" t="str">
        <ns0:v>打开 www.wago.com</ns0:v>
      </ns0:c>
      <ns0:c r="D133" s="11" t="str">
        <ns0:v>同版电气设计绝对数量；；；原装2m购1支，截150一段装盒，余料留存；成品35×7.5/T1</ns0:v>
      </ns0:c>
      <ns0:c r="E133" s="11" t="str">
        <ns0:v>https://www.wago.com/global/accessories/steel-carrier-rail/p/210-112</ns0:v>
      </ns0:c>
    </ns0:row>
    <ns0:row r="134" ht="38" hidden="0" customHeight="1">
      <ns0:c r="A134" s="12" t="str">
        <ns0:v>E15.2</ns0:v>
      </ns0:c>
      <ns0:c r="B134" s="12" t="str">
        <ns0:v>技术依据</ns0:v>
      </ns0:c>
      <ns0:c r="C134" s="15" t="str">
        <ns0:v>打开 www.wago.com</ns0:v>
      </ns0:c>
      <ns0:c r="D134" s="12" t="str">
        <ns0:v>同版电气设计绝对数量；；；</ns0:v>
      </ns0:c>
      <ns0:c r="E134" s="12" t="str">
        <ns0:v>https://www.wago.com/gb/accessories/screwless-end-stop/p/249-116</ns0:v>
      </ns0:c>
    </ns0:row>
    <ns0:row r="135" ht="38" hidden="0" customHeight="1">
      <ns0:c r="A135" s="11" t="str">
        <ns0:v>E15.3</ns0:v>
      </ns0:c>
      <ns0:c r="B135" s="11" t="str">
        <ns0:v>技术依据</ns0:v>
      </ns0:c>
      <ns0:c r="C135" s="16" t="str">
        <ns0:v>打开 www.wago.com</ns0:v>
      </ns0:c>
      <ns0:c r="D135" s="11" t="str">
        <ns0:v>同版电气设计绝对数量；；；</ns0:v>
      </ns0:c>
      <ns0:c r="E135" s="11" t="str">
        <ns0:v>https://www.wago.com/us/rail-chassis-terminal-blocks/topjobs-end-intermediate-plate/p/2002-1291</ns0:v>
      </ns0:c>
    </ns0:row>
    <ns0:row r="136" ht="38" hidden="0" customHeight="1">
      <ns0:c r="A136" s="12" t="str">
        <ns0:v>E16.1</ns0:v>
      </ns0:c>
      <ns0:c r="B136" s="12" t="str">
        <ns0:v>待补来源</ns0:v>
      </ns0:c>
      <ns0:c r="C136" s="15" t="str">
        <ns0:v>尚无可核直接链接</ns0:v>
      </ns0:c>
      <ns0:c r="D136" s="12" t="str">
        <ns0:v>同版电气设计绝对数量；每条总长度待实测；；；</ns0:v>
      </ns0:c>
      <ns0:c r="E136" s="12" t="str"/>
    </ns0:row>
    <ns0:row r="137" ht="38" hidden="0" customHeight="1">
      <ns0:c r="A137" s="11" t="str">
        <ns0:v>E16.2</ns0:v>
      </ns0:c>
      <ns0:c r="B137" s="11" t="str">
        <ns0:v>技术依据</ns0:v>
      </ns0:c>
      <ns0:c r="C137" s="16" t="str">
        <ns0:v>打开 www.jst-mfg.com</ns0:v>
      </ns0:c>
      <ns0:c r="D137" s="11" t="str">
        <ns0:v>同版电气设计绝对数量；；；</ns0:v>
      </ns0:c>
      <ns0:c r="E137" s="11" t="str">
        <ns0:v>https://www.jst-mfg.com/product/pdf/eng/eRING2.pdf</ns0:v>
      </ns0:c>
    </ns0:row>
    <ns0:row r="138" ht="38" hidden="0" customHeight="1">
      <ns0:c r="A138" s="12" t="str">
        <ns0:v>E16.3</ns0:v>
      </ns0:c>
      <ns0:c r="B138" s="12" t="str">
        <ns0:v>技术依据</ns0:v>
      </ns0:c>
      <ns0:c r="C138" s="15" t="str">
        <ns0:v>打开 www.jst-mfg.com</ns0:v>
      </ns0:c>
      <ns0:c r="D138" s="12" t="str">
        <ns0:v>同版电气设计绝对数量；；；</ns0:v>
      </ns0:c>
      <ns0:c r="E138" s="12" t="str">
        <ns0:v>https://www.jst-mfg.com/product/pdf/eng/eRING2.pdf</ns0:v>
      </ns0:c>
    </ns0:row>
    <ns0:row r="139" ht="38" hidden="0" customHeight="1">
      <ns0:c r="A139" s="11" t="str">
        <ns0:v>E16.3</ns0:v>
      </ns0:c>
      <ns0:c r="B139" s="11" t="str">
        <ns0:v>购买页面</ns0:v>
      </ns0:c>
      <ns0:c r="C139" s="16" t="str">
        <ns0:v>打开 cz.mouser.com</ns0:v>
      </ns0:c>
      <ns0:c r="D139" s="11" t="str">
        <ns0:v>同版电气设计绝对数量；；；</ns0:v>
      </ns0:c>
      <ns0:c r="E139" s="11" t="str">
        <ns0:v>https://cz.mouser.com/ProductDetail/JST-Commercial/FV2-4?qs=cIziFXvMxOUAUZffk7L1Xw%3D%3D</ns0:v>
      </ns0:c>
    </ns0:row>
    <ns0:row r="140" ht="38" hidden="0" customHeight="1">
      <ns0:c r="A140" s="12" t="str">
        <ns0:v>E16.4</ns0:v>
      </ns0:c>
      <ns0:c r="B140" s="12" t="str">
        <ns0:v>待补来源</ns0:v>
      </ns0:c>
      <ns0:c r="C140" s="15" t="str">
        <ns0:v>尚无可核直接链接</ns0:v>
      </ns0:c>
      <ns0:c r="D140" s="12" t="str">
        <ns0:v>同版电气设计绝对数量；；；</ns0:v>
      </ns0:c>
      <ns0:c r="E140" s="12" t="str"/>
    </ns0:row>
    <ns0:row r="141" ht="38" hidden="0" customHeight="1">
      <ns0:c r="A141" s="11" t="str">
        <ns0:v>E16.5</ns0:v>
      </ns0:c>
      <ns0:c r="B141" s="11" t="str">
        <ns0:v>技术依据</ns0:v>
      </ns0:c>
      <ns0:c r="C141" s="16" t="str">
        <ns0:v>打开 www.phoenixcontact.com</ns0:v>
      </ns0:c>
      <ns0:c r="D141" s="11" t="str">
        <ns0:v>同版电气设计绝对数量；；；接XPE6，金属夹持段10；线材剥线按端头/端子联合说明，不浸锡</ns0:v>
      </ns0:c>
      <ns0:c r="E141" s="11" t="str">
        <ns0:v>https://www.phoenixcontact.com/en-us/products/ferrule-ai-25-10-bu-3202533</ns0:v>
      </ns0:c>
    </ns0:row>
    <ns0:row r="142" ht="38" hidden="0" customHeight="1">
      <ns0:c r="A142" s="12" t="str">
        <ns0:v>E16.6</ns0:v>
      </ns0:c>
      <ns0:c r="B142" s="12" t="str">
        <ns0:v>技术依据</ns0:v>
      </ns0:c>
      <ns0:c r="C142" s="15" t="str">
        <ns0:v>打开 www.atslamberti.com</ns0:v>
      </ns0:c>
      <ns0:c r="D142" s="12" t="str">
        <ns0:v>同版电气设计绝对数量；；Vital Parts WELD13918-M5-20-COP，同标准须核焊接适用性；</ns0:v>
      </ns0:c>
      <ns0:c r="E142" s="12" t="str">
        <ns0:v>https://www.atslamberti.com/files/00364/weldingstudsa.t.srev.2of17042024.pdf</ns0:v>
      </ns0:c>
    </ns0:row>
    <ns0:row r="143" ht="38" hidden="0" customHeight="1">
      <ns0:c r="A143" s="11" t="str">
        <ns0:v>E16.6</ns0:v>
      </ns0:c>
      <ns0:c r="B143" s="11" t="str">
        <ns0:v>购买页面</ns0:v>
      </ns0:c>
      <ns0:c r="C143" s="16" t="str">
        <ns0:v>打开 www.vital-parts.co.uk</ns0:v>
      </ns0:c>
      <ns0:c r="D143" s="11" t="str">
        <ns0:v>同版电气设计绝对数量；；Vital Parts WELD13918-M5-20-COP，同标准须核焊接适用性；</ns0:v>
      </ns0:c>
      <ns0:c r="E143" s="11" t="str">
        <ns0:v>https://www.vital-parts.co.uk/male-threaded-weld-studs-iso-13918-type-pt/29898-weld13918-m5-20-cop</ns0:v>
      </ns0:c>
    </ns0:row>
    <ns0:row r="144" ht="38" hidden="0" customHeight="1">
      <ns0:c r="A144" s="12" t="str">
        <ns0:v>E16.7</ns0:v>
      </ns0:c>
      <ns0:c r="B144" s="12" t="str">
        <ns0:v>技术依据</ns0:v>
      </ns0:c>
      <ns0:c r="C144" s="15" t="str">
        <ns0:v>打开 eshop.wuerth.de</ns0:v>
      </ns0:c>
      <ns0:c r="D144" s="12" t="str">
        <ns0:v>同版电气设计绝对数量；内5.3/外10/未压高1.2/料厚0.6；；</ns0:v>
      </ns0:c>
      <ns0:c r="E144" s="12" t="str">
        <ns0:v>https://eshop.wuerth.de/Zahnscheibe-aussengezahnt-Form-A-DIN-6797-Edelstahl-A2-SHB-ZA-DIN6797-A2-A-D53/04310215.sku/de/DE/EUR/</ns0:v>
      </ns0:c>
    </ns0:row>
    <ns0:row r="145" ht="38" hidden="0" customHeight="1">
      <ns0:c r="A145" s="11" t="str">
        <ns0:v>E16.8</ns0:v>
      </ns0:c>
      <ns0:c r="B145" s="11" t="str">
        <ns0:v>技术依据</ns0:v>
      </ns0:c>
      <ns0:c r="C145" s="16" t="str">
        <ns0:v>打开 marketplacemedia.witglobal.net</ns0:v>
      </ns0:c>
      <ns0:c r="D145" s="11" t="str">
        <ns0:v>同版电气设计绝对数量；内5.3/外10/厚1.0；；</ns0:v>
      </ns0:c>
      <ns0:c r="E145" s="11" t="str">
        <ns0:v>https://marketplacemedia.witglobal.net/source/marketplace/stmedia/wuerth/documents/documents/std.lang.all/642388974.pdf</ns0:v>
      </ns0:c>
    </ns0:row>
    <ns0:row r="146" ht="38" hidden="0" customHeight="1">
      <ns0:c r="A146" s="12" t="str">
        <ns0:v>E16.9</ns0:v>
      </ns0:c>
      <ns0:c r="B146" s="12" t="str">
        <ns0:v>技术依据</ns0:v>
      </ns0:c>
      <ns0:c r="C146" s="15" t="str">
        <ns0:v>打开 eshop.wuerth.de</ns0:v>
      </ns0:c>
      <ns0:c r="D146" s="12" t="str">
        <ns0:v>同版电气设计绝对数量；高5.0/对边8；；</ns0:v>
      </ns0:c>
      <ns0:c r="E146" s="12" t="str">
        <ns0:v>https://eshop.wuerth.de/Hexagon-nut-low-profile-with-clamping-piece-non-metal-insert-DIN-985-A4-stainless-steel-plain-NUT-HEX-SLOK-DIN985-A4-WS8-M5/03975.sku/en/US/EUR/</ns0:v>
      </ns0:c>
    </ns0:row>
    <ns0:row r="147" ht="38" hidden="0" customHeight="1">
      <ns0:c r="A147" s="11" t="str">
        <ns0:v>H21.stock</ns0:v>
      </ns0:c>
      <ns0:c r="B147" s="11" t="str">
        <ns0:v>购买页面</ns0:v>
      </ns0:c>
      <ns0:c r="C147" s="16" t="str">
        <ns0:v>打开 www.fugendichtband24.de</ns0:v>
      </ns0:c>
      <ns0:c r="D147" s="11" t="str">
        <ns0:v>每桌8片24×12软垫从1片标准片材裁出；按每桌1片保守备料，不把8片小垫当8整张。不自动跨桌优化余料。</ns0:v>
      </ns0:c>
      <ns0:c r="E147" s="11" t="str">
        <ns0:v>https://www.fugendichtband24.de/EPDM-Vollgummimatte-2mm-Staerke-200mm-x-300mm-einseitig-selbstklebend-ca-65-Shore-A.htm</ns0:v>
      </ns0:c>
    </ns0:row>
  </ns0:sheetData>
  <ns0:hyperlinks>
    <ns0:hyperlink ref="C8" ns1:id="rIdPurchaseLink1"/>
    <ns0:hyperlink ref="C9" ns1:id="rIdPurchaseLink2"/>
    <ns0:hyperlink ref="C10" ns1:id="rIdPurchaseLink3"/>
    <ns0:hyperlink ref="C11" ns1:id="rIdPurchaseLink4"/>
    <ns0:hyperlink ref="C12" ns1:id="rIdPurchaseLink5"/>
    <ns0:hyperlink ref="C13" ns1:id="rIdPurchaseLink6"/>
    <ns0:hyperlink ref="C14" ns1:id="rIdPurchaseLink7"/>
    <ns0:hyperlink ref="C15" ns1:id="rIdPurchaseLink8"/>
    <ns0:hyperlink ref="C16" ns1:id="rIdPurchaseLink9"/>
    <ns0:hyperlink ref="C17" ns1:id="rIdPurchaseLink10"/>
    <ns0:hyperlink ref="C18" ns1:id="rIdPurchaseLink11"/>
    <ns0:hyperlink ref="C19" ns1:id="rIdPurchaseLink12"/>
    <ns0:hyperlink ref="C20" ns1:id="rIdPurchaseLink13"/>
    <ns0:hyperlink ref="C21" ns1:id="rIdPurchaseLink14"/>
    <ns0:hyperlink ref="C22" ns1:id="rIdPurchaseLink15"/>
    <ns0:hyperlink ref="C23" ns1:id="rIdPurchaseLink16"/>
    <ns0:hyperlink ref="C24" ns1:id="rIdPurchaseLink17"/>
    <ns0:hyperlink ref="C25" ns1:id="rIdPurchaseLink18"/>
    <ns0:hyperlink ref="C26" ns1:id="rIdPurchaseLink19"/>
    <ns0:hyperlink ref="C27" ns1:id="rIdPurchaseLink20"/>
    <ns0:hyperlink ref="C28" ns1:id="rIdPurchaseLink21"/>
    <ns0:hyperlink ref="C29" ns1:id="rIdPurchaseLink22"/>
    <ns0:hyperlink ref="C30" ns1:id="rIdPurchaseLink23"/>
    <ns0:hyperlink ref="C31" ns1:id="rIdPurchaseLink24"/>
    <ns0:hyperlink ref="C32" ns1:id="rIdPurchaseLink25"/>
    <ns0:hyperlink ref="C33" ns1:id="rIdPurchaseLink26"/>
    <ns0:hyperlink ref="C34" ns1:id="rIdPurchaseLink27"/>
    <ns0:hyperlink ref="C35" ns1:id="rIdPurchaseLink28"/>
    <ns0:hyperlink ref="C36" ns1:id="rIdPurchaseLink29"/>
    <ns0:hyperlink ref="C37" ns1:id="rIdPurchaseLink30"/>
    <ns0:hyperlink ref="C38" ns1:id="rIdPurchaseLink31"/>
    <ns0:hyperlink ref="C39" ns1:id="rIdPurchaseLink32"/>
    <ns0:hyperlink ref="C40" ns1:id="rIdPurchaseLink33"/>
    <ns0:hyperlink ref="C41" ns1:id="rIdPurchaseLink34"/>
    <ns0:hyperlink ref="C42" ns1:id="rIdPurchaseLink35"/>
    <ns0:hyperlink ref="C43" ns1:id="rIdPurchaseLink36"/>
    <ns0:hyperlink ref="C44" ns1:id="rIdPurchaseLink37"/>
    <ns0:hyperlink ref="C45" ns1:id="rIdPurchaseLink38"/>
    <ns0:hyperlink ref="C46" ns1:id="rIdPurchaseLink39"/>
    <ns0:hyperlink ref="C47" ns1:id="rIdPurchaseLink40"/>
    <ns0:hyperlink ref="C48" ns1:id="rIdPurchaseLink41"/>
    <ns0:hyperlink ref="C49" ns1:id="rIdPurchaseLink42"/>
    <ns0:hyperlink ref="C50" ns1:id="rIdPurchaseLink43"/>
    <ns0:hyperlink ref="C51" ns1:id="rIdPurchaseLink44"/>
    <ns0:hyperlink ref="C52" ns1:id="rIdPurchaseLink45"/>
    <ns0:hyperlink ref="C53" ns1:id="rIdPurchaseLink46"/>
    <ns0:hyperlink ref="C54" ns1:id="rIdPurchaseLink47"/>
    <ns0:hyperlink ref="C55" ns1:id="rIdPurchaseLink48"/>
    <ns0:hyperlink ref="C56" ns1:id="rIdPurchaseLink49"/>
    <ns0:hyperlink ref="C57" ns1:id="rIdPurchaseLink50"/>
    <ns0:hyperlink ref="C58" ns1:id="rIdPurchaseLink51"/>
    <ns0:hyperlink ref="C59" ns1:id="rIdPurchaseLink52"/>
    <ns0:hyperlink ref="C60" ns1:id="rIdPurchaseLink53"/>
    <ns0:hyperlink ref="C61" ns1:id="rIdPurchaseLink54"/>
    <ns0:hyperlink ref="C62" ns1:id="rIdPurchaseLink55"/>
    <ns0:hyperlink ref="C63" ns1:id="rIdPurchaseLink56"/>
    <ns0:hyperlink ref="C64" ns1:id="rIdPurchaseLink57"/>
    <ns0:hyperlink ref="C65" ns1:id="rIdPurchaseLink58"/>
    <ns0:hyperlink ref="C66" ns1:id="rIdPurchaseLink59"/>
    <ns0:hyperlink ref="C67" ns1:id="rIdPurchaseLink60"/>
    <ns0:hyperlink ref="C68" ns1:id="rIdPurchaseLink61"/>
    <ns0:hyperlink ref="C69" ns1:id="rIdPurchaseLink62"/>
    <ns0:hyperlink ref="C70" ns1:id="rIdPurchaseLink63"/>
    <ns0:hyperlink ref="C71" ns1:id="rIdPurchaseLink64"/>
    <ns0:hyperlink ref="C72" ns1:id="rIdPurchaseLink65"/>
    <ns0:hyperlink ref="C73" ns1:id="rIdPurchaseLink66"/>
    <ns0:hyperlink ref="C74" ns1:id="rIdPurchaseLink67"/>
    <ns0:hyperlink ref="C75" ns1:id="rIdPurchaseLink68"/>
    <ns0:hyperlink ref="C76" ns1:id="rIdPurchaseLink69"/>
    <ns0:hyperlink ref="C77" ns1:id="rIdPurchaseLink70"/>
    <ns0:hyperlink ref="C78" ns1:id="rIdPurchaseLink71"/>
    <ns0:hyperlink ref="C79" ns1:id="rIdPurchaseLink72"/>
    <ns0:hyperlink ref="C80" ns1:id="rIdPurchaseLink73"/>
    <ns0:hyperlink ref="C81" ns1:id="rIdPurchaseLink74"/>
    <ns0:hyperlink ref="C82" ns1:id="rIdPurchaseLink75"/>
    <ns0:hyperlink ref="C83" ns1:id="rIdPurchaseLink76"/>
    <ns0:hyperlink ref="C84" ns1:id="rIdPurchaseLink77"/>
    <ns0:hyperlink ref="C85" ns1:id="rIdPurchaseLink78"/>
    <ns0:hyperlink ref="C86" ns1:id="rIdPurchaseLink79"/>
    <ns0:hyperlink ref="C87" ns1:id="rIdPurchaseLink80"/>
    <ns0:hyperlink ref="C88" ns1:id="rIdPurchaseLink81"/>
    <ns0:hyperlink ref="C89" ns1:id="rIdPurchaseLink82"/>
    <ns0:hyperlink ref="C90" ns1:id="rIdPurchaseLink83"/>
    <ns0:hyperlink ref="C91" ns1:id="rIdPurchaseLink84"/>
    <ns0:hyperlink ref="C92" ns1:id="rIdPurchaseLink85"/>
    <ns0:hyperlink ref="C93" ns1:id="rIdPurchaseLink86"/>
    <ns0:hyperlink ref="C94" ns1:id="rIdPurchaseLink87"/>
    <ns0:hyperlink ref="C95" ns1:id="rIdPurchaseLink88"/>
    <ns0:hyperlink ref="C96" ns1:id="rIdPurchaseLink89"/>
    <ns0:hyperlink ref="C97" ns1:id="rIdPurchaseLink90"/>
    <ns0:hyperlink ref="C99" ns1:id="rIdPurchaseLink91"/>
    <ns0:hyperlink ref="C100" ns1:id="rIdPurchaseLink92"/>
    <ns0:hyperlink ref="C101" ns1:id="rIdPurchaseLink93"/>
    <ns0:hyperlink ref="C104" ns1:id="rIdPurchaseLink94"/>
    <ns0:hyperlink ref="C105" ns1:id="rIdPurchaseLink95"/>
    <ns0:hyperlink ref="C106" ns1:id="rIdPurchaseLink96"/>
    <ns0:hyperlink ref="C107" ns1:id="rIdPurchaseLink97"/>
    <ns0:hyperlink ref="C108" ns1:id="rIdPurchaseLink98"/>
    <ns0:hyperlink ref="C109" ns1:id="rIdPurchaseLink99"/>
    <ns0:hyperlink ref="C110" ns1:id="rIdPurchaseLink100"/>
    <ns0:hyperlink ref="C111" ns1:id="rIdPurchaseLink101"/>
    <ns0:hyperlink ref="C112" ns1:id="rIdPurchaseLink102"/>
    <ns0:hyperlink ref="C113" ns1:id="rIdPurchaseLink103"/>
    <ns0:hyperlink ref="C114" ns1:id="rIdPurchaseLink104"/>
    <ns0:hyperlink ref="C118" ns1:id="rIdPurchaseLink105"/>
    <ns0:hyperlink ref="C119" ns1:id="rIdPurchaseLink106"/>
    <ns0:hyperlink ref="C120" ns1:id="rIdPurchaseLink107"/>
    <ns0:hyperlink ref="C121" ns1:id="rIdPurchaseLink108"/>
    <ns0:hyperlink ref="C122" ns1:id="rIdPurchaseLink109"/>
    <ns0:hyperlink ref="C123" ns1:id="rIdPurchaseLink110"/>
    <ns0:hyperlink ref="C124" ns1:id="rIdPurchaseLink111"/>
    <ns0:hyperlink ref="C125" ns1:id="rIdPurchaseLink112"/>
    <ns0:hyperlink ref="C126" ns1:id="rIdPurchaseLink113"/>
    <ns0:hyperlink ref="C127" ns1:id="rIdPurchaseLink114"/>
    <ns0:hyperlink ref="C128" ns1:id="rIdPurchaseLink115"/>
    <ns0:hyperlink ref="C129" ns1:id="rIdPurchaseLink116"/>
    <ns0:hyperlink ref="C130" ns1:id="rIdPurchaseLink117"/>
    <ns0:hyperlink ref="C131" ns1:id="rIdPurchaseLink118"/>
    <ns0:hyperlink ref="C132" ns1:id="rIdPurchaseLink119"/>
    <ns0:hyperlink ref="C133" ns1:id="rIdPurchaseLink120"/>
    <ns0:hyperlink ref="C134" ns1:id="rIdPurchaseLink121"/>
    <ns0:hyperlink ref="C135" ns1:id="rIdPurchaseLink122"/>
    <ns0:hyperlink ref="C137" ns1:id="rIdPurchaseLink123"/>
    <ns0:hyperlink ref="C138" ns1:id="rIdPurchaseLink124"/>
    <ns0:hyperlink ref="C139" ns1:id="rIdPurchaseLink125"/>
    <ns0:hyperlink ref="C141" ns1:id="rIdPurchaseLink126"/>
    <ns0:hyperlink ref="C142" ns1:id="rIdPurchaseLink127"/>
    <ns0:hyperlink ref="C143" ns1:id="rIdPurchaseLink128"/>
    <ns0:hyperlink ref="C144" ns1:id="rIdPurchaseLink129"/>
    <ns0:hyperlink ref="C145" ns1:id="rIdPurchaseLink130"/>
    <ns0:hyperlink ref="C146" ns1:id="rIdPurchaseLink131"/>
    <ns0:hyperlink ref="C147" ns1:id="rIdPurchaseLink132"/>
  </ns0:hyperlinks>
  <ns0:pageMargins left="0.7" right="0.7" top="0.75" bottom="0.75" header="0.3" footer="0.3"/>
  <ns0:tableParts count="1">
    <ns0:tablePart ns1:id="R02a1207e8d284bf6"/>
  </ns0:tableParts>
</ns0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4" hidden="0" customWidth="1"/>
    <x:col min="2" max="2" width="145" hidden="0" customWidth="1"/>
  </x:cols>
  <x:sheetData>
    <x:row r="1" ht="38" customHeight="1">
      <x:c r="A1" s="2"/>
      <x:c r="B1" s="2"/>
    </x:row>
    <x:row r="2" ht="38" customHeight="1">
      <x:c r="A2" s="3" t="str">
        <x:v>采购与下单说明</x:v>
      </x:c>
      <x:c r="B2" s="2"/>
    </x:row>
    <x:row r="3" ht="38" customHeight="1">
      <x:c r="A3" s="2" t="str">
        <x:v>HW73005-L2000　R03　核对日期 2026-10-01　成型深化稿，未生产放行</x:v>
      </x:c>
      <x:c r="B3" s="2"/>
    </x:row>
    <x:row r="4" ht="38" customHeight="1">
      <x:c r="A4" s="2"/>
      <x:c r="B4" s="17"/>
    </x:row>
    <x:row r="5" ht="38" customHeight="1">
      <x:c r="A5" s="6" t="str">
        <x:v>链接核对日期为2026-10-01；本次未购买、未联系商家，也未代表工厂或接收方验收。</x:v>
      </x:c>
      <x:c r="B5" s="2"/>
    </x:row>
    <x:row r="6" ht="38" customHeight="1">
      <x:c r="A6" s="2"/>
      <x:c r="B6" s="2"/>
    </x:row>
    <x:row r="7" ht="32" customHeight="1">
      <x:c r="A7" s="10" t="str">
        <x:v>主题</x:v>
      </x:c>
      <x:c r="B7" s="10" t="str">
        <x:v>说明</x:v>
      </x:c>
    </x:row>
    <x:row r="8" ht="38" hidden="0" customHeight="1">
      <x:c r="A8" s="12" t="str">
        <x:v>使用口径</x:v>
      </x:c>
      <x:c r="B8" s="12" t="str">
        <x:v>采购总表是每桌装配用量，配套拆分展开套内容；两表不能叠加重复下单。</x:v>
      </x:c>
    </x:row>
    <x:row r="9" ht="38" hidden="0" customHeight="1">
      <x:c r="A9" s="11" t="str">
        <x:v>批量和包装</x:v>
      </x:c>
      <x:c r="B9" s="11" t="str">
        <x:v>本批用量跟随采购总表B4。包装与装配单位不同的H21单列片材；未知包装量留空，不假定单卖。</x:v>
      </x:c>
    </x:row>
    <x:row r="10" ht="38" hidden="0" customHeight="1">
      <x:c r="A10" s="12" t="str">
        <x:v>网上可购范围</x:v>
      </x:c>
      <x:c r="B10" s="12" t="str">
        <x:v>所有五金提供真实型号与厂家/商城入口；部分官方页仅订购入口、国外商城配送未核。电器仍有候选、证书和外包待核项，不将候选写成已验收。</x:v>
      </x:c>
    </x:row>
    <x:row r="11" ht="38" hidden="0" customHeight="1">
      <x:c r="A11" s="11" t="str">
        <x:v>桌面拆装</x:v>
      </x:c>
      <x:c r="B11" s="11" t="str">
        <x:v>8点M6嵌件可拆；木预钻深14余4须同板试装定扭矩。T18翻盖顶孔余6.5，BH104只定位旋转，荷载由SU-30S和软垫承托。</x:v>
      </x:c>
    </x:row>
    <x:row r="12" ht="38" hidden="0" customHeight="1">
      <x:c r="A12" s="12" t="str">
        <x:v>门排插固定</x:v>
      </x:c>
      <x:c r="B12" s="12" t="str">
        <x:v>LP332每门2套同向安装，胶粘适用性、活动门抗滑脱和插拔载荷须首件验证；不准钻穿排插绝缘壳。</x:v>
      </x:c>
    </x:row>
    <x:row r="13" ht="38" hidden="0" customHeight="1">
      <x:c r="A13" s="11" t="str">
        <x:v>保护接地</x:v>
      </x:c>
      <x:c r="B13" s="11" t="str">
        <x:v>E16按最新电气kit逐项展开，中央E21~E24独立；各根线总长待实测，维护余量不等于领料长度。PE不能代替防坠索。</x:v>
      </x:c>
    </x:row>
    <x:row r="14" ht="38" hidden="0" customHeight="1">
      <x:c r="A14" s="12" t="str">
        <x:v>防坠</x:v>
      </x:c>
      <x:c r="B14" s="12" t="str">
        <x:v>GN111.2-150-C-BL的150是索环根距；孔心拉直约183，厂家静载参考不可当动态跌落额定，首次吊挂和全行程须验收。</x:v>
      </x:c>
    </x:row>
    <x:row r="15" ht="38" hidden="0" customHeight="1">
      <x:c r="A15" s="11" t="str">
        <x:v>同版验收</x:v>
      </x:c>
      <x:c r="B15" s="11" t="str">
        <x:v>钣金展开补偿、焊接变形、实际承载、线缆弯曲/防拉脱、接地连续性与电气保护必须按说明完成首件验收；当前未生产放行。</x:v>
      </x:c>
    </x:row>
  </x:sheetData>
  <x:pageMargins left="0.7" right="0.7" top="0.75" bottom="0.75" header="0.3" footer="0.3"/>
  <x:tableParts count="1">
    <x:tablePart xmlns:r="http://schemas.openxmlformats.org/officeDocument/2006/relationships" r:id="R89d717ea4bd74bb8"/>
  </x:tableParts>
</x:worksheet>
</file>