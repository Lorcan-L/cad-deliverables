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fedeb5b8547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零件清单" sheetId="1" r:id="Rd0cae94e083e44e3"/>
    <x:sheet xmlns:r="http://schemas.openxmlformats.org/officeDocument/2006/relationships" name="图纸目录" sheetId="2" r:id="Rfad97313e15540ed"/>
    <x:sheet xmlns:r="http://schemas.openxmlformats.org/officeDocument/2006/relationships" name="三视覆盖" sheetId="3" r:id="Rfb9f6f50e40f497c"/>
    <x:sheet xmlns:r="http://schemas.openxmlformats.org/officeDocument/2006/relationships" name="复核记录" sheetId="4" r:id="R4b720b074523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"/>
    <x:numFmt numFmtId="202" formatCode="yyyy-mm-dd"/>
  </x:numFmts>
  <x:fonts count="5">
    <x:font>
      <x:sz val="11"/>
      <x:name val="Carlito"/>
    </x:font>
    <x:font>
      <x:sz val="10"/>
      <x:color rgb="FF25333D"/>
      <x:name val="Arial"/>
    </x:font>
    <x:font>
      <x:b/>
      <x:sz val="15"/>
      <x:color rgb="FF25333D"/>
      <x:name val="Arial"/>
    </x:font>
    <x:font>
      <x:b/>
      <x:sz val="10"/>
      <x:color rgb="FFFFFFFF"/>
      <x:name val="Arial"/>
    </x:font>
    <x:font>
      <x:sz val="10"/>
      <x:color rgb="FF68768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344E61"/>
      </x:patternFill>
    </x:fill>
    <x:fill>
      <x:patternFill patternType="solid">
        <x:fgColor rgb="FFF1F5F7"/>
      </x:patternFill>
    </x:fill>
    <x:fill>
      <x:patternFill patternType="solid">
        <x:fgColor rgb="FFFFF0C9"/>
      </x:patternFill>
    </x:fill>
  </x:fills>
  <x:borders count="5">
    <x:border/>
    <x:border>
      <x:bottom style="thin">
        <x:color rgb="FFD6DFE5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horizontal="right" vertical="top" wrapText="1"/>
    </x:xf>
    <x:xf numFmtId="200" fontId="1" fillId="3" borderId="0" xfId="0" applyNumberFormat="1" applyFont="1" applyFill="1" applyBorder="1" applyAlignment="1">
      <x:alignment horizontal="right" vertical="top" wrapText="1"/>
    </x:xf>
    <x:xf numFmtId="200" fontId="1" fillId="0" borderId="0" xfId="0" applyNumberFormat="1" applyFont="1" applyFill="1" applyBorder="1" applyAlignment="1">
      <x:alignment horizontal="right" vertical="top" wrapText="1"/>
    </x:xf>
    <x:xf numFmtId="201" fontId="1" fillId="3" borderId="0" xfId="0" applyNumberFormat="1" applyFont="1" applyFill="1" applyBorder="1" applyAlignment="1">
      <x:alignment horizontal="right" vertical="top" wrapText="1"/>
    </x:xf>
    <x:xf numFmtId="201" fontId="1" fillId="0" borderId="0" xfId="0" applyNumberFormat="1" applyFont="1" applyFill="1" applyBorder="1" applyAlignment="1">
      <x:alignment horizontal="right" vertical="top" wrapText="1"/>
    </x:xf>
    <x:xf numFmtId="0" fontId="4" fillId="0" borderId="1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5"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ill>
        <x:patternFill patternType="solid">
          <x:bgColor rgb="FFFFF0C9"/>
        </x:patternFill>
      </x:fill>
    </x:dxf>
    <x:dxf>
      <x:font>
        <x:color rgb="FF9C352B"/>
      </x:font>
      <x:fill>
        <x:patternFill patternType="solid">
          <x:bgColor rgb="FFFBE5E1"/>
        </x:patternFill>
      </x:fill>
    </x:dxf>
    <x:dxf>
      <x:fill>
        <x:patternFill patternType="solid">
          <x:bgColor rgb="FFFFF0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11cd1cadb4cbe" /><Relationship Type="http://schemas.openxmlformats.org/officeDocument/2006/relationships/theme" Target="/xl/theme/theme1.xml" Id="R56aa7148ced44e7d" /><Relationship Type="http://schemas.openxmlformats.org/officeDocument/2006/relationships/sharedStrings" Target="/xl/sharedStrings.xml" Id="R58dfcf8247104641" /><Relationship Type="http://schemas.openxmlformats.org/officeDocument/2006/relationships/worksheet" Target="/xl/worksheets/sheet1.xml" Id="Rd0cae94e083e44e3" /><Relationship Type="http://schemas.openxmlformats.org/officeDocument/2006/relationships/worksheet" Target="/xl/worksheets/sheet2.xml" Id="Rfad97313e15540ed" /><Relationship Type="http://schemas.openxmlformats.org/officeDocument/2006/relationships/worksheet" Target="/xl/worksheets/sheet3.xml" Id="Rfb9f6f50e40f497c" /><Relationship Type="http://schemas.openxmlformats.org/officeDocument/2006/relationships/worksheet" Target="/xl/worksheets/sheet4.xml" Id="R4b720b074523453f" /></Relationships>
</file>

<file path=xl/tables/table1.xml><?xml version="1.0" encoding="utf-8"?>
<x:table xmlns:x="http://schemas.openxmlformats.org/spreadsheetml/2006/main" id="1" name="PartsTable" displayName="PartsTable" ref="A7:R91" headerRowCount="1" totalsRowCount="0" totalsRowShown="0">
  <x:autoFilter ref="A7:R91"/>
  <x:tableColumns count="18">
    <x:tableColumn id="1" name="编号"/>
    <x:tableColumn id="2" name="零件名称"/>
    <x:tableColumn id="3" name="所属总成"/>
    <x:tableColumn id="4" name="制造 / 采购类别"/>
    <x:tableColumn id="5" name="材料"/>
    <x:tableColumn id="6" name="厚度 mm"/>
    <x:tableColumn id="7" name="单套数量"/>
    <x:tableColumn id="8" name="单位"/>
    <x:tableColumn id="9" name="本批数量"/>
    <x:tableColumn id="10" name="成品尺寸 mm"/>
    <x:tableColumn id="11" name="开料尺寸 mm"/>
    <x:tableColumn id="12" name="工艺 / 表面处理"/>
    <x:tableColumn id="13" name="图号"/>
    <x:tableColumn id="14" name="PDF 页"/>
    <x:tableColumn id="15" name="状态"/>
    <x:tableColumn id="16" name="计数口径"/>
    <x:tableColumn id="17" name="依据"/>
    <x:tableColumn id="18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rawingsTable" displayName="DrawingsTable" ref="A7:H59" headerRowCount="1" totalsRowCount="0" totalsRowShown="0">
  <x:autoFilter ref="A7:H59"/>
  <x:tableColumns count="8">
    <x:tableColumn id="1" name="图号"/>
    <x:tableColumn id="2" name="图纸名称"/>
    <x:tableColumn id="3" name="PDF 页"/>
    <x:tableColumn id="4" name="比例"/>
    <x:tableColumn id="5" name="关联零件 / 总成"/>
    <x:tableColumn id="6" name="状态"/>
    <x:tableColumn id="7" name="内容说明"/>
    <x:tableColumn id="8" name="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Table" displayName="CoverageTable" ref="A7:K143" headerRowCount="1" totalsRowCount="0" totalsRowShown="0">
  <x:autoFilter ref="A7:K143"/>
  <x:tableColumns count="11">
    <x:tableColumn id="1" name="对象编号"/>
    <x:tableColumn id="2" name="对象名称"/>
    <x:tableColumn id="3" name="对象类型"/>
    <x:tableColumn id="4" name="对应图号"/>
    <x:tableColumn id="5" name="PDF 页"/>
    <x:tableColumn id="6" name="正视图"/>
    <x:tableColumn id="7" name="俯视图"/>
    <x:tableColumn id="8" name="侧视图"/>
    <x:tableColumn id="9" name="状态"/>
    <x:tableColumn id="10" name="所属 / 关联对象"/>
    <x:tableColumn id="11" name="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hecksTable" displayName="ChecksTable" ref="A7:D22" headerRowCount="1" totalsRowCount="0" totalsRowShown="0">
  <x:autoFilter ref="A7:D22"/>
  <x:tableColumns count="4">
    <x:tableColumn id="1" name="类别"/>
    <x:tableColumn id="2" name="复核对象"/>
    <x:tableColumn id="3" name="结果"/>
    <x:tableColumn id="4" name="证据 / 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52b3eb29eb4a3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1b207516d247b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bdeff0f537d4ce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362b56b775940f8" /></Relationships>
</file>

<file path=xl/worksheets/sheet1.xml><?xml version="1.0" encoding="utf-8"?>
<x:worksheet xmlns:x="http://schemas.openxmlformats.org/spreadsheetml/2006/main">
  <x:sheetPr>
    <x:tabColor rgb="FF344E61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5" hidden="0" customWidth="1"/>
    <x:col min="2" max="2" width="25" hidden="0" customWidth="1"/>
    <x:col min="3" max="3" width="18" hidden="0" customWidth="1"/>
    <x:col min="4" max="4" width="18" hidden="0" customWidth="1"/>
    <x:col min="5" max="5" width="25" hidden="0" customWidth="1"/>
    <x:col min="6" max="6" width="11" hidden="0" customWidth="1"/>
    <x:col min="7" max="7" width="11" hidden="0" customWidth="1"/>
    <x:col min="8" max="8" width="8" hidden="0" customWidth="1"/>
    <x:col min="9" max="9" width="11" hidden="0" customWidth="1"/>
    <x:col min="10" max="10" width="28" hidden="0" customWidth="1"/>
    <x:col min="11" max="11" width="28" hidden="0" customWidth="1"/>
    <x:col min="12" max="12" width="37" hidden="0" customWidth="1"/>
    <x:col min="13" max="13" width="18" hidden="0" customWidth="1"/>
    <x:col min="14" max="14" width="10" hidden="0" customWidth="1"/>
    <x:col min="15" max="15" width="23" hidden="0" customWidth="1"/>
    <x:col min="16" max="16" width="27" hidden="0" customWidth="1"/>
    <x:col min="17" max="17" width="40" hidden="0" customWidth="1"/>
    <x:col min="18" max="18" width="5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体验桌零件与采购清单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0" customHeight="1">
      <x:c r="A3" s="21" t="str">
        <x:v>HW73005-L2000　L2000体验桌　R03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 ht="30" customHeight="1">
      <x:c r="A4" s="2" t="str">
        <x:v>批量（套）</x:v>
      </x:c>
      <x:c r="B4" s="26" t="n"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0" customHeight="1">
      <x:c r="A5" s="29" t="str">
        <x:v>黄色单元格为本批套数。本批数量 = 单套数量 × 套数；空白数量表示待核实。总成与子件不叠加汇总。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32" customHeight="1">
      <x:c r="A7" s="9" t="str">
        <x:v>编号</x:v>
      </x:c>
      <x:c r="B7" s="10" t="str">
        <x:v>零件名称</x:v>
      </x:c>
      <x:c r="C7" s="10" t="str">
        <x:v>所属总成</x:v>
      </x:c>
      <x:c r="D7" s="10" t="str">
        <x:v>制造 / 采购类别</x:v>
      </x:c>
      <x:c r="E7" s="10" t="str">
        <x:v>材料</x:v>
      </x:c>
      <x:c r="F7" s="10" t="str">
        <x:v>厚度 mm</x:v>
      </x:c>
      <x:c r="G7" s="10" t="str">
        <x:v>单套数量</x:v>
      </x:c>
      <x:c r="H7" s="10" t="str">
        <x:v>单位</x:v>
      </x:c>
      <x:c r="I7" s="10" t="str">
        <x:v>本批数量</x:v>
      </x:c>
      <x:c r="J7" s="10" t="str">
        <x:v>成品尺寸 mm</x:v>
      </x:c>
      <x:c r="K7" s="10" t="str">
        <x:v>开料尺寸 mm</x:v>
      </x:c>
      <x:c r="L7" s="10" t="str">
        <x:v>工艺 / 表面处理</x:v>
      </x:c>
      <x:c r="M7" s="10" t="str">
        <x:v>图号</x:v>
      </x:c>
      <x:c r="N7" s="10" t="str">
        <x:v>PDF 页</x:v>
      </x:c>
      <x:c r="O7" s="10" t="str">
        <x:v>状态</x:v>
      </x:c>
      <x:c r="P7" s="10" t="str">
        <x:v>计数口径</x:v>
      </x:c>
      <x:c r="Q7" s="10" t="str">
        <x:v>依据</x:v>
      </x:c>
      <x:c r="R7" s="11" t="str">
        <x:v>备注</x:v>
      </x:c>
    </x:row>
    <x:row r="8" ht="36" hidden="0" customHeight="1">
      <x:c r="A8" s="14" t="str">
        <x:v>A01</x:v>
      </x:c>
      <x:c r="B8" s="14" t="str">
        <x:v>体验桌总装</x:v>
      </x:c>
      <x:c r="C8" s="14" t="str">
        <x:v>整桌</x:v>
      </x:c>
      <x:c r="D8" s="14" t="str">
        <x:v>装配</x:v>
      </x:c>
      <x:c r="E8" s="14" t="str">
        <x:v>详见子件</x:v>
      </x:c>
      <x:c r="F8" s="17"/>
      <x:c r="G8" s="17" t="n">
        <x:v>1</x:v>
      </x:c>
      <x:c r="H8" s="27" t="str">
        <x:v>套</x:v>
      </x:c>
      <x:c r="I8" s="17" t="n">
        <x:f>IF(ISBLANK(G8),"",G8*$B$4)</x:f>
        <x:v>1</x:v>
      </x:c>
      <x:c r="J8" s="14" t="str">
        <x:v>2000×1200×900</x:v>
      </x:c>
      <x:c r="K8" s="14" t="str"/>
      <x:c r="L8" s="14" t="str">
        <x:v>按图装配→试装检验</x:v>
      </x:c>
      <x:c r="M8" s="14" t="str">
        <x:v>A01</x:v>
      </x:c>
      <x:c r="N8" s="19" t="n">
        <x:v>4</x:v>
      </x:c>
      <x:c r="O8" s="14" t="str">
        <x:v>图纸数字核对；实物首件未执行</x:v>
      </x:c>
      <x:c r="P8" s="14" t="str">
        <x:v>装配数量；材料按子件领用</x:v>
      </x:c>
      <x:c r="Q8" s="14" t="str">
        <x:v>顾客DWG；R02成型与检修协调</x:v>
      </x:c>
      <x:c r="R8" s="14" t="str">
        <x:v>总成数量不重复计入领料</x:v>
      </x:c>
    </x:row>
    <x:row r="9" ht="36" hidden="0" customHeight="1">
      <x:c r="A9" s="13" t="str">
        <x:v>A04</x:v>
      </x:c>
      <x:c r="B9" s="13" t="str">
        <x:v>焊接钢结构总成</x:v>
      </x:c>
      <x:c r="C9" s="13" t="str">
        <x:v>A01</x:v>
      </x:c>
      <x:c r="D9" s="13" t="str">
        <x:v>装配</x:v>
      </x:c>
      <x:c r="E9" s="13" t="str">
        <x:v>详见子件</x:v>
      </x:c>
      <x:c r="F9" s="18"/>
      <x:c r="G9" s="18" t="n">
        <x:v>1</x:v>
      </x:c>
      <x:c r="H9" s="28" t="str">
        <x:v>套</x:v>
      </x:c>
      <x:c r="I9" s="18" t="n">
        <x:f>IF(ISBLANK(G9),"",G9*$B$4)</x:f>
        <x:v>1</x:v>
      </x:c>
      <x:c r="J9" s="13" t="str">
        <x:v>1990×1190×882（含脚）</x:v>
      </x:c>
      <x:c r="K9" s="13" t="str"/>
      <x:c r="L9" s="13" t="str">
        <x:v>按图装配→试装检验</x:v>
      </x:c>
      <x:c r="M9" s="13" t="str">
        <x:v>A04</x:v>
      </x:c>
      <x:c r="N9" s="20" t="n">
        <x:v>17</x:v>
      </x:c>
      <x:c r="O9" s="13" t="str">
        <x:v>图纸数字核对；实物首件未执行</x:v>
      </x:c>
      <x:c r="P9" s="13" t="str">
        <x:v>装配数量；材料按子件领用</x:v>
      </x:c>
      <x:c r="Q9" s="13" t="str">
        <x:v>顾客DWG；R02成型与检修协调</x:v>
      </x:c>
      <x:c r="R9" s="13" t="str">
        <x:v>总成数量不重复计入领料</x:v>
      </x:c>
    </x:row>
    <x:row r="10" ht="36" hidden="0" customHeight="1">
      <x:c r="A10" s="14" t="str">
        <x:v>A03</x:v>
      </x:c>
      <x:c r="B10" s="14" t="str">
        <x:v>桌面翻盖总成</x:v>
      </x:c>
      <x:c r="C10" s="14" t="str">
        <x:v>A01</x:v>
      </x:c>
      <x:c r="D10" s="14" t="str">
        <x:v>装配</x:v>
      </x:c>
      <x:c r="E10" s="14" t="str">
        <x:v>阻燃多层三聚氰胺板+科技木皮</x:v>
      </x:c>
      <x:c r="F10" s="17" t="n">
        <x:v>18</x:v>
      </x:c>
      <x:c r="G10" s="17" t="n">
        <x:v>1</x:v>
      </x:c>
      <x:c r="H10" s="27" t="str">
        <x:v>组</x:v>
      </x:c>
      <x:c r="I10" s="17" t="n">
        <x:f>IF(ISBLANK(G10),"",G10*$B$4)</x:f>
        <x:v>1</x:v>
      </x:c>
      <x:c r="J10" s="14" t="str">
        <x:v>2000×1200×18</x:v>
      </x:c>
      <x:c r="K10" s="14" t="str">
        <x:v>不另计材料</x:v>
      </x:c>
      <x:c r="L10" s="14" t="str">
        <x:v>同板裁切、开槽、钻孔、封边、磨边</x:v>
      </x:c>
      <x:c r="M10" s="14" t="str">
        <x:v>A03</x:v>
      </x:c>
      <x:c r="N10" s="19" t="n">
        <x:v>18</x:v>
      </x:c>
      <x:c r="O10" s="14" t="str">
        <x:v>成型三视已绘；五金安装按实物配孔</x:v>
      </x:c>
      <x:c r="P10" s="14" t="str">
        <x:v>装配数量；材料按子件领用</x:v>
      </x:c>
      <x:c r="Q10" s="14" t="str">
        <x:v>原图总装顶视及D节点；R02成品五金与可拆固定修订</x:v>
      </x:c>
      <x:c r="R10" s="14" t="str">
        <x:v>成品含封边；R02护口孔Ø14+0.5/0；底面八点M6嵌母，按D01定位。取消原12处木螺钉孔。</x:v>
      </x:c>
    </x:row>
    <x:row r="11" ht="36" hidden="0" customHeight="1">
      <x:c r="A11" s="13" t="str">
        <x:v>A05</x:v>
      </x:c>
      <x:c r="B11" s="13" t="str">
        <x:v>翻盖承托盒总成</x:v>
      </x:c>
      <x:c r="C11" s="13" t="str">
        <x:v>A04</x:v>
      </x:c>
      <x:c r="D11" s="13" t="str">
        <x:v>装配</x:v>
      </x:c>
      <x:c r="E11" s="13" t="str">
        <x:v>阻燃多层板</x:v>
      </x:c>
      <x:c r="F11" s="18"/>
      <x:c r="G11" s="18" t="n">
        <x:v>2</x:v>
      </x:c>
      <x:c r="H11" s="28" t="str">
        <x:v>组</x:v>
      </x:c>
      <x:c r="I11" s="18" t="n">
        <x:f>IF(ISBLANK(G11),"",G11*$B$4)</x:f>
        <x:v>2</x:v>
      </x:c>
      <x:c r="J11" s="13" t="str">
        <x:v>330×230×96；内净300×200</x:v>
      </x:c>
      <x:c r="K11" s="13" t="str">
        <x:v>不另计材料</x:v>
      </x:c>
      <x:c r="L11" s="13" t="str">
        <x:v>侧板围合、底板托底；M4可拆固定至钢架抱角</x:v>
      </x:c>
      <x:c r="M11" s="13" t="str">
        <x:v>A05</x:v>
      </x:c>
      <x:c r="N11" s="20" t="n">
        <x:v>19</x:v>
      </x:c>
      <x:c r="O11" s="13" t="str">
        <x:v>成型三视已绘；五金安装按实物配孔</x:v>
      </x:c>
      <x:c r="P11" s="13" t="str">
        <x:v>装配数量；材料按子件领用</x:v>
      </x:c>
      <x:c r="Q11" s="13" t="str">
        <x:v>原图总装顶视及D节点；R02成品五金与可拆固定修订</x:v>
      </x:c>
      <x:c r="R11" s="13" t="str">
        <x:v>盒留钢架；W03A长侧φ50孔朝Y485，孔心Z842。</x:v>
      </x:c>
    </x:row>
    <x:row r="12" ht="36" hidden="0" customHeight="1">
      <x:c r="A12" s="14" t="str">
        <x:v>W01</x:v>
      </x:c>
      <x:c r="B12" s="14" t="str">
        <x:v>桌面主板</x:v>
      </x:c>
      <x:c r="C12" s="14" t="str">
        <x:v>A03</x:v>
      </x:c>
      <x:c r="D12" s="14" t="str">
        <x:v>木作</x:v>
      </x:c>
      <x:c r="E12" s="14" t="str">
        <x:v>阻燃多层三聚氰胺板+科技木皮</x:v>
      </x:c>
      <x:c r="F12" s="17" t="n">
        <x:v>18</x:v>
      </x:c>
      <x:c r="G12" s="17" t="n">
        <x:v>1</x:v>
      </x:c>
      <x:c r="H12" s="27" t="str">
        <x:v>件</x:v>
      </x:c>
      <x:c r="I12" s="17" t="n">
        <x:f>IF(ISBLANK(G12),"",G12*$B$4)</x:f>
        <x:v>1</x:v>
      </x:c>
      <x:c r="J12" s="14" t="str">
        <x:v>2000×1200×18</x:v>
      </x:c>
      <x:c r="K12" s="14" t="str">
        <x:v>基板1999.5×1199.5×18，四周封T0.25木皮</x:v>
      </x:c>
      <x:c r="L12" s="14" t="str">
        <x:v>同板裁切、开槽、钻孔、封边、磨边</x:v>
      </x:c>
      <x:c r="M12" s="14" t="str">
        <x:v>W01</x:v>
      </x:c>
      <x:c r="N12" s="19" t="n">
        <x:v>20</x:v>
      </x:c>
      <x:c r="O12" s="14" t="str">
        <x:v>成型三视已绘；五金安装按实物配孔</x:v>
      </x:c>
      <x:c r="P12" s="14" t="str">
        <x:v>制造零件数量</x:v>
      </x:c>
      <x:c r="Q12" s="14" t="str">
        <x:v>原图总装顶视及D节点；R02成品五金与可拆固定修订</x:v>
      </x:c>
      <x:c r="R12" s="14" t="str">
        <x:v>成品含封边；R02护口孔Ø14+0.5/0；底面八点M6嵌母，按D01定位。取消原12处木螺钉孔。</x:v>
      </x:c>
    </x:row>
    <x:row r="13" ht="36" hidden="0" customHeight="1">
      <x:c r="A13" s="13" t="str">
        <x:v>W02A</x:v>
      </x:c>
      <x:c r="B13" s="13" t="str">
        <x:v>桌面有槽翻盖板</x:v>
      </x:c>
      <x:c r="C13" s="13" t="str">
        <x:v>A03</x:v>
      </x:c>
      <x:c r="D13" s="13" t="str">
        <x:v>木作</x:v>
      </x:c>
      <x:c r="E13" s="13" t="str">
        <x:v>同桌面T18阻燃多层三聚氰胺板</x:v>
      </x:c>
      <x:c r="F13" s="18" t="n">
        <x:v>18</x:v>
      </x:c>
      <x:c r="G13" s="18" t="n">
        <x:v>2</x:v>
      </x:c>
      <x:c r="H13" s="28" t="str">
        <x:v>件</x:v>
      </x:c>
      <x:c r="I13" s="18" t="n">
        <x:f>IF(ISBLANK(G13),"",G13*$B$4)</x:f>
        <x:v>2</x:v>
      </x:c>
      <x:c r="J13" s="13" t="str">
        <x:v>298×58×18，底侧28×7让位</x:v>
      </x:c>
      <x:c r="K13" s="13" t="str">
        <x:v>同W01原板顺纹裁切；保留锯缝工艺量</x:v>
      </x:c>
      <x:c r="L13" s="13" t="str">
        <x:v>同板取料、开让位、磨边、五金配孔</x:v>
      </x:c>
      <x:c r="M13" s="13" t="str">
        <x:v>W02</x:v>
      </x:c>
      <x:c r="N13" s="20" t="n">
        <x:v>21</x:v>
      </x:c>
      <x:c r="O13" s="13" t="str">
        <x:v>成型三视已绘；五金安装按实物配孔</x:v>
      </x:c>
      <x:c r="P13" s="13" t="str">
        <x:v>制造零件数量</x:v>
      </x:c>
      <x:c r="Q13" s="13" t="str">
        <x:v>原图总装顶视及D节点；R02成品五金与可拆固定修订</x:v>
      </x:c>
      <x:c r="R13" s="13" t="str">
        <x:v>源D 0x8469…0x846e；R01长度298；安装在开口Y低值侧，槽口朝中央毛刷。</x:v>
      </x:c>
    </x:row>
    <x:row r="14" ht="36" hidden="0" customHeight="1">
      <x:c r="A14" s="14" t="str">
        <x:v>W02B</x:v>
      </x:c>
      <x:c r="B14" s="14" t="str">
        <x:v>桌面实截面翻盖板</x:v>
      </x:c>
      <x:c r="C14" s="14" t="str">
        <x:v>A03</x:v>
      </x:c>
      <x:c r="D14" s="14" t="str">
        <x:v>木作</x:v>
      </x:c>
      <x:c r="E14" s="14" t="str">
        <x:v>同桌面T18阻燃多层三聚氰胺板</x:v>
      </x:c>
      <x:c r="F14" s="17" t="n">
        <x:v>18</x:v>
      </x:c>
      <x:c r="G14" s="17" t="n">
        <x:v>2</x:v>
      </x:c>
      <x:c r="H14" s="27" t="str">
        <x:v>件</x:v>
      </x:c>
      <x:c r="I14" s="17" t="n">
        <x:f>IF(ISBLANK(G14),"",G14*$B$4)</x:f>
        <x:v>2</x:v>
      </x:c>
      <x:c r="J14" s="14" t="str">
        <x:v>298×58×18，实截面</x:v>
      </x:c>
      <x:c r="K14" s="14" t="str">
        <x:v>同W01原板顺纹裁切；保留锯缝工艺量</x:v>
      </x:c>
      <x:c r="L14" s="14" t="str">
        <x:v>同板取料、磨边、五金配孔</x:v>
      </x:c>
      <x:c r="M14" s="14" t="str">
        <x:v>W02</x:v>
      </x:c>
      <x:c r="N14" s="19" t="n">
        <x:v>21</x:v>
      </x:c>
      <x:c r="O14" s="14" t="str">
        <x:v>成型三视已绘；五金安装按实物配孔</x:v>
      </x:c>
      <x:c r="P14" s="14" t="str">
        <x:v>制造零件数量</x:v>
      </x:c>
      <x:c r="Q14" s="14" t="str">
        <x:v>原图总装顶视及D节点；R02成品五金与可拆固定修订</x:v>
      </x:c>
      <x:c r="R14" s="14" t="str">
        <x:v>源D 0x8465…0x8468；R01长度298；安装在开口Y高值侧，不复制A盖让位槽。</x:v>
      </x:c>
    </x:row>
    <x:row r="15" ht="36" hidden="0" customHeight="1">
      <x:c r="A15" s="13" t="str">
        <x:v>W03</x:v>
      </x:c>
      <x:c r="B15" s="13" t="str">
        <x:v>承托盒长侧板（无孔）</x:v>
      </x:c>
      <x:c r="C15" s="13" t="str">
        <x:v>A05</x:v>
      </x:c>
      <x:c r="D15" s="13" t="str">
        <x:v>木作</x:v>
      </x:c>
      <x:c r="E15" s="13" t="str">
        <x:v>阻燃多层板</x:v>
      </x:c>
      <x:c r="F15" s="18" t="n">
        <x:v>15</x:v>
      </x:c>
      <x:c r="G15" s="18" t="n">
        <x:v>2</x:v>
      </x:c>
      <x:c r="H15" s="28" t="str">
        <x:v>件</x:v>
      </x:c>
      <x:c r="I15" s="18" t="n">
        <x:f>IF(ISBLANK(G15),"",G15*$B$4)</x:f>
        <x:v>2</x:v>
      </x:c>
      <x:c r="J15" s="13" t="str">
        <x:v>330×91×15</x:v>
      </x:c>
      <x:c r="K15" s="13" t="str">
        <x:v>按成品净形</x:v>
      </x:c>
      <x:c r="L15" s="13" t="str">
        <x:v>裁切、磨边、饰面、试装配孔</x:v>
      </x:c>
      <x:c r="M15" s="13" t="str">
        <x:v>W03</x:v>
      </x:c>
      <x:c r="N15" s="20" t="n">
        <x:v>22</x:v>
      </x:c>
      <x:c r="O15" s="13" t="str">
        <x:v>成型三视已绘；五金安装按实物配孔</x:v>
      </x:c>
      <x:c r="P15" s="13" t="str">
        <x:v>制造零件数量</x:v>
      </x:c>
      <x:c r="Q15" s="13" t="str">
        <x:v>原图总装顶视及D节点；R02成品五金与可拆固定修订</x:v>
      </x:c>
      <x:c r="R15" s="13" t="str">
        <x:v>远侧Y700..715，每盒1片。</x:v>
      </x:c>
    </x:row>
    <x:row r="16" ht="36" hidden="0" customHeight="1">
      <x:c r="A16" s="14" t="str">
        <x:v>W03A</x:v>
      </x:c>
      <x:c r="B16" s="14" t="str">
        <x:v>承托盒长侧板（有孔）</x:v>
      </x:c>
      <x:c r="C16" s="14" t="str">
        <x:v>A05</x:v>
      </x:c>
      <x:c r="D16" s="14" t="str">
        <x:v>木作</x:v>
      </x:c>
      <x:c r="E16" s="14" t="str">
        <x:v>阻燃多层板</x:v>
      </x:c>
      <x:c r="F16" s="17" t="n">
        <x:v>15</x:v>
      </x:c>
      <x:c r="G16" s="17" t="n">
        <x:v>2</x:v>
      </x:c>
      <x:c r="H16" s="27" t="str">
        <x:v>件</x:v>
      </x:c>
      <x:c r="I16" s="17" t="n">
        <x:f>IF(ISBLANK(G16),"",G16*$B$4)</x:f>
        <x:v>2</x:v>
      </x:c>
      <x:c r="J16" s="14" t="str">
        <x:v>330×91×15，φ50孔中心165/51</x:v>
      </x:c>
      <x:c r="K16" s="14" t="str">
        <x:v>按成品净形</x:v>
      </x:c>
      <x:c r="L16" s="14" t="str">
        <x:v>裁切、开φ50孔、护口试装、磨边</x:v>
      </x:c>
      <x:c r="M16" s="14" t="str">
        <x:v>W03</x:v>
      </x:c>
      <x:c r="N16" s="19" t="n">
        <x:v>22</x:v>
      </x:c>
      <x:c r="O16" s="14" t="str">
        <x:v>成型三视已绘；五金安装按实物配孔</x:v>
      </x:c>
      <x:c r="P16" s="14" t="str">
        <x:v>制造零件数量</x:v>
      </x:c>
      <x:c r="Q16" s="14" t="str">
        <x:v>原图总装顶视及D节点；R02成品五金与可拆固定修订</x:v>
      </x:c>
      <x:c r="R16" s="14" t="str">
        <x:v>近侧Y485..500；孔心全局(600/1400,492.5,842)，孔朝-Y。</x:v>
      </x:c>
    </x:row>
    <x:row r="17" ht="36" hidden="0" customHeight="1">
      <x:c r="A17" s="13" t="str">
        <x:v>W04B</x:v>
      </x:c>
      <x:c r="B17" s="13" t="str">
        <x:v>承托盒短侧板</x:v>
      </x:c>
      <x:c r="C17" s="13" t="str">
        <x:v>A05</x:v>
      </x:c>
      <x:c r="D17" s="13" t="str">
        <x:v>木作</x:v>
      </x:c>
      <x:c r="E17" s="13" t="str">
        <x:v>阻燃多层板</x:v>
      </x:c>
      <x:c r="F17" s="18" t="n">
        <x:v>15</x:v>
      </x:c>
      <x:c r="G17" s="18" t="n">
        <x:v>4</x:v>
      </x:c>
      <x:c r="H17" s="28" t="str">
        <x:v>件</x:v>
      </x:c>
      <x:c r="I17" s="18" t="n">
        <x:f>IF(ISBLANK(G17),"",G17*$B$4)</x:f>
        <x:v>4</x:v>
      </x:c>
      <x:c r="J17" s="13" t="str">
        <x:v>200×91×15</x:v>
      </x:c>
      <x:c r="K17" s="13" t="str">
        <x:v>按成品净形</x:v>
      </x:c>
      <x:c r="L17" s="13" t="str">
        <x:v>裁切、2×φ4.5通孔、4×φ2深10盲孔、磨边</x:v>
      </x:c>
      <x:c r="M17" s="13" t="str">
        <x:v>W04</x:v>
      </x:c>
      <x:c r="N17" s="20" t="n">
        <x:v>23</x:v>
      </x:c>
      <x:c r="O17" s="13" t="str">
        <x:v>成型三视已绘；五金安装按实物配孔</x:v>
      </x:c>
      <x:c r="P17" s="13" t="str">
        <x:v>制造零件数量</x:v>
      </x:c>
      <x:c r="Q17" s="13" t="str">
        <x:v>原图总装顶视及D节点；R02成品五金与可拆固定修订</x:v>
      </x:c>
      <x:c r="R17" s="13" t="str">
        <x:v>固定孔u25/175 v24；承托盲孔u52/148 v64.77/77.77。无过线孔。</x:v>
      </x:c>
    </x:row>
    <x:row r="18" ht="36" hidden="0" customHeight="1">
      <x:c r="A18" s="14" t="str">
        <x:v>W05</x:v>
      </x:c>
      <x:c r="B18" s="14" t="str">
        <x:v>承托盒底板</x:v>
      </x:c>
      <x:c r="C18" s="14" t="str">
        <x:v>A05</x:v>
      </x:c>
      <x:c r="D18" s="14" t="str">
        <x:v>木作</x:v>
      </x:c>
      <x:c r="E18" s="14" t="str">
        <x:v>R01选用阻燃多层板</x:v>
      </x:c>
      <x:c r="F18" s="17" t="n">
        <x:v>5</x:v>
      </x:c>
      <x:c r="G18" s="17" t="n">
        <x:v>2</x:v>
      </x:c>
      <x:c r="H18" s="27" t="str">
        <x:v>件</x:v>
      </x:c>
      <x:c r="I18" s="17" t="n">
        <x:f>IF(ISBLANK(G18),"",G18*$B$4)</x:f>
        <x:v>2</x:v>
      </x:c>
      <x:c r="J18" s="14" t="str">
        <x:v>330×230×5</x:v>
      </x:c>
      <x:c r="K18" s="14" t="str">
        <x:v>按成品净形</x:v>
      </x:c>
      <x:c r="L18" s="14" t="str">
        <x:v>裁切、磨边、围板托底装配</x:v>
      </x:c>
      <x:c r="M18" s="14" t="str">
        <x:v>W05</x:v>
      </x:c>
      <x:c r="N18" s="19" t="n">
        <x:v>24</x:v>
      </x:c>
      <x:c r="O18" s="14" t="str">
        <x:v>成型三视已绘；五金安装按实物配孔</x:v>
      </x:c>
      <x:c r="P18" s="14" t="str">
        <x:v>制造零件数量</x:v>
      </x:c>
      <x:c r="Q18" s="14" t="str">
        <x:v>原图总装顶视及D节点；R02成品五金与可拆固定修订</x:v>
      </x:c>
      <x:c r="R18" s="14" t="str">
        <x:v>T5为源D节点实线归一结果；材质选用在R01声明。</x:v>
      </x:c>
    </x:row>
    <x:row r="19" ht="36" hidden="0" customHeight="1">
      <x:c r="A19" s="13" t="str">
        <x:v>S01</x:v>
      </x:c>
      <x:c r="B19" s="13" t="str">
        <x:v>长边斜腹板</x:v>
      </x:c>
      <x:c r="C19" s="13" t="str">
        <x:v>A04</x:v>
      </x:c>
      <x:c r="D19" s="13" t="str">
        <x:v>钣金</x:v>
      </x:c>
      <x:c r="E19" s="13" t="str">
        <x:v>冷轧钢板</x:v>
      </x:c>
      <x:c r="F19" s="18" t="n">
        <x:v>1.5</x:v>
      </x:c>
      <x:c r="G19" s="18" t="n">
        <x:v>2</x:v>
      </x:c>
      <x:c r="H19" s="28" t="str">
        <x:v>件</x:v>
      </x:c>
      <x:c r="I19" s="18" t="n">
        <x:f>IF(ISBLANK(G19),"",G19*$B$4)</x:f>
        <x:v>2</x:v>
      </x:c>
      <x:c r="J19" s="13" t="str">
        <x:v>上口1958.5 / 下口1779.06 × 高100；截面横包110.3</x:v>
      </x:c>
      <x:c r="K19" s="13" t="str">
        <x:v>按成型图、实际板材与折弯机试折反算</x:v>
      </x:c>
      <x:c r="L19" s="13" t="str">
        <x:v>激光切割→折弯/成型→端口放样→点固校方→焊接打磨→按样板表面处理</x:v>
      </x:c>
      <x:c r="M19" s="13" t="str">
        <x:v>S01</x:v>
      </x:c>
      <x:c r="N19" s="20" t="n">
        <x:v>26</x:v>
      </x:c>
      <x:c r="O19" s="13" t="str">
        <x:v>成型控制；展开补偿按设备首件</x:v>
      </x:c>
      <x:c r="P19" s="13" t="str">
        <x:v>制造零件数量</x:v>
      </x:c>
      <x:c r="Q19" s="13" t="str">
        <x:v>顾客DWG有效图形 + R01分片</x:v>
      </x:c>
      <x:c r="R19" s="13" t="str">
        <x:v>颜色、光泽、焊缝处理按样板；去毛刺、不得割手</x:v>
      </x:c>
    </x:row>
    <x:row r="20" ht="36" hidden="0" customHeight="1">
      <x:c r="A20" s="14" t="str">
        <x:v>S02</x:v>
      </x:c>
      <x:c r="B20" s="14" t="str">
        <x:v>短边斜腹板</x:v>
      </x:c>
      <x:c r="C20" s="14" t="str">
        <x:v>A04</x:v>
      </x:c>
      <x:c r="D20" s="14" t="str">
        <x:v>钣金</x:v>
      </x:c>
      <x:c r="E20" s="14" t="str">
        <x:v>冷轧钢板</x:v>
      </x:c>
      <x:c r="F20" s="17" t="n">
        <x:v>1.5</x:v>
      </x:c>
      <x:c r="G20" s="17" t="n">
        <x:v>2</x:v>
      </x:c>
      <x:c r="H20" s="27" t="str">
        <x:v>件</x:v>
      </x:c>
      <x:c r="I20" s="17" t="n">
        <x:f>IF(ISBLANK(G20),"",G20*$B$4)</x:f>
        <x:v>2</x:v>
      </x:c>
      <x:c r="J20" s="14" t="str">
        <x:v>上口1158.5 / 下口979.056 × 高100；截面横包110.3</x:v>
      </x:c>
      <x:c r="K20" s="14" t="str">
        <x:v>按成型图、实际板材与折弯机试折反算</x:v>
      </x:c>
      <x:c r="L20" s="14" t="str">
        <x:v>激光切割→折弯/成型→端口放样→点固校方→焊接打磨→按样板表面处理</x:v>
      </x:c>
      <x:c r="M20" s="14" t="str">
        <x:v>S02</x:v>
      </x:c>
      <x:c r="N20" s="19" t="n">
        <x:v>27</x:v>
      </x:c>
      <x:c r="O20" s="14" t="str">
        <x:v>成型控制；展开补偿按设备首件</x:v>
      </x:c>
      <x:c r="P20" s="14" t="str">
        <x:v>制造零件数量</x:v>
      </x:c>
      <x:c r="Q20" s="14" t="str">
        <x:v>顾客DWG有效图形 + R01分片</x:v>
      </x:c>
      <x:c r="R20" s="14" t="str">
        <x:v>颜色、光泽、焊缝处理按样板；去毛刺、不得割手</x:v>
      </x:c>
    </x:row>
    <x:row r="21" ht="36" hidden="0" customHeight="1">
      <x:c r="A21" s="13" t="str">
        <x:v>A07</x:v>
      </x:c>
      <x:c r="B21" s="13" t="str">
        <x:v>刀形桌腿焊接总成</x:v>
      </x:c>
      <x:c r="C21" s="13" t="str">
        <x:v>A04</x:v>
      </x:c>
      <x:c r="D21" s="13" t="str">
        <x:v>装配</x:v>
      </x:c>
      <x:c r="E21" s="13" t="str">
        <x:v>冷轧钢板 + M8脚件</x:v>
      </x:c>
      <x:c r="F21" s="18"/>
      <x:c r="G21" s="18" t="n">
        <x:v>4</x:v>
      </x:c>
      <x:c r="H21" s="28" t="str">
        <x:v>组</x:v>
      </x:c>
      <x:c r="I21" s="18" t="n">
        <x:f>IF(ISBLANK(G21),"",G21*$B$4)</x:f>
        <x:v>4</x:v>
      </x:c>
      <x:c r="J21" s="13" t="str">
        <x:v>131.062×27.933×882（含脚5）</x:v>
      </x:c>
      <x:c r="K21" s="13" t="str"/>
      <x:c r="L21" s="13" t="str">
        <x:v>点固→校正→焊接→打磨→装脚</x:v>
      </x:c>
      <x:c r="M21" s="13" t="str">
        <x:v>A07</x:v>
      </x:c>
      <x:c r="N21" s="20" t="n">
        <x:v>28</x:v>
      </x:c>
      <x:c r="O21" s="13" t="str">
        <x:v>R01分片与高度修正</x:v>
      </x:c>
      <x:c r="P21" s="13" t="str">
        <x:v>装配数量；材料按子件领用</x:v>
      </x:c>
      <x:c r="Q21" s="13" t="str">
        <x:v>顾客DWG有效图形 + R01分片</x:v>
      </x:c>
      <x:c r="R21" s="13" t="str">
        <x:v>颜色、光泽、焊缝处理按样板；去毛刺、不得割手</x:v>
      </x:c>
    </x:row>
    <x:row r="22" ht="36" hidden="0" customHeight="1">
      <x:c r="A22" s="14" t="str">
        <x:v>S03A</x:v>
      </x:c>
      <x:c r="B22" s="14" t="str">
        <x:v>刀形腿开口壳</x:v>
      </x:c>
      <x:c r="C22" s="14" t="str">
        <x:v>A07</x:v>
      </x:c>
      <x:c r="D22" s="14" t="str">
        <x:v>钣金</x:v>
      </x:c>
      <x:c r="E22" s="14" t="str">
        <x:v>冷轧钢板</x:v>
      </x:c>
      <x:c r="F22" s="17" t="n">
        <x:v>1.5</x:v>
      </x:c>
      <x:c r="G22" s="17" t="n">
        <x:v>4</x:v>
      </x:c>
      <x:c r="H22" s="27" t="str">
        <x:v>件</x:v>
      </x:c>
      <x:c r="I22" s="17" t="n">
        <x:f>IF(ISBLANK(G22),"",G22*$B$4)</x:f>
        <x:v>4</x:v>
      </x:c>
      <x:c r="J22" s="14" t="str">
        <x:v>131.062×27.933×877（低端777）</x:v>
      </x:c>
      <x:c r="K22" s="14" t="str">
        <x:v>按成型图、实际板材与折弯机试折反算</x:v>
      </x:c>
      <x:c r="L22" s="14" t="str">
        <x:v>激光切割→包折/卷弯→焊接打磨</x:v>
      </x:c>
      <x:c r="M22" s="14" t="str">
        <x:v>S03A</x:v>
      </x:c>
      <x:c r="N22" s="19" t="n">
        <x:v>29</x:v>
      </x:c>
      <x:c r="O22" s="14" t="str">
        <x:v>成型控制；首件顶口放样</x:v>
      </x:c>
      <x:c r="P22" s="14" t="str">
        <x:v>制造零件数量</x:v>
      </x:c>
      <x:c r="Q22" s="14" t="str">
        <x:v>顾客DWG有效图形 + R01分片</x:v>
      </x:c>
      <x:c r="R22" s="14" t="str">
        <x:v>颜色、光泽、焊缝处理按样板；去毛刺、不得割手</x:v>
      </x:c>
    </x:row>
    <x:row r="23" ht="36" hidden="0" customHeight="1">
      <x:c r="A23" s="13" t="str">
        <x:v>S03B</x:v>
      </x:c>
      <x:c r="B23" s="13" t="str">
        <x:v>刀形腿内端封板</x:v>
      </x:c>
      <x:c r="C23" s="13" t="str">
        <x:v>A07</x:v>
      </x:c>
      <x:c r="D23" s="13" t="str">
        <x:v>钣金</x:v>
      </x:c>
      <x:c r="E23" s="13" t="str">
        <x:v>冷轧钢板</x:v>
      </x:c>
      <x:c r="F23" s="18" t="n">
        <x:v>1.5</x:v>
      </x:c>
      <x:c r="G23" s="18" t="n">
        <x:v>4</x:v>
      </x:c>
      <x:c r="H23" s="28" t="str">
        <x:v>件</x:v>
      </x:c>
      <x:c r="I23" s="18" t="n">
        <x:f>IF(ISBLANK(G23),"",G23*$B$4)</x:f>
        <x:v>4</x:v>
      </x:c>
      <x:c r="J23" s="13" t="str">
        <x:v>24.733×777×1.5</x:v>
      </x:c>
      <x:c r="K23" s="13" t="str">
        <x:v>24.733×777×1.5</x:v>
      </x:c>
      <x:c r="L23" s="13" t="str">
        <x:v>激光切割→焊接→打磨</x:v>
      </x:c>
      <x:c r="M23" s="13" t="str">
        <x:v>S03BC</x:v>
      </x:c>
      <x:c r="N23" s="20" t="n">
        <x:v>30</x:v>
      </x:c>
      <x:c r="O23" s="13" t="str">
        <x:v>成型控制；展开补偿按设备首件</x:v>
      </x:c>
      <x:c r="P23" s="13" t="str">
        <x:v>制造零件数量</x:v>
      </x:c>
      <x:c r="Q23" s="13" t="str">
        <x:v>顾客DWG有效图形 + R01分片</x:v>
      </x:c>
      <x:c r="R23" s="13" t="str">
        <x:v>颜色、光泽、焊缝处理按样板；去毛刺、不得割手</x:v>
      </x:c>
    </x:row>
    <x:row r="24" ht="36" hidden="0" customHeight="1">
      <x:c r="A24" s="14" t="str">
        <x:v>S03C</x:v>
      </x:c>
      <x:c r="B24" s="14" t="str">
        <x:v>刀形腿底封板</x:v>
      </x:c>
      <x:c r="C24" s="14" t="str">
        <x:v>A07</x:v>
      </x:c>
      <x:c r="D24" s="14" t="str">
        <x:v>钣金</x:v>
      </x:c>
      <x:c r="E24" s="14" t="str">
        <x:v>冷轧钢板</x:v>
      </x:c>
      <x:c r="F24" s="17" t="n">
        <x:v>1.5</x:v>
      </x:c>
      <x:c r="G24" s="17" t="n">
        <x:v>4</x:v>
      </x:c>
      <x:c r="H24" s="27" t="str">
        <x:v>件</x:v>
      </x:c>
      <x:c r="I24" s="17" t="n">
        <x:f>IF(ISBLANK(G24),"",G24*$B$4)</x:f>
        <x:v>4</x:v>
      </x:c>
      <x:c r="J24" s="14" t="str">
        <x:v>随壳内轮廓配切；外包≤128.1×24.9</x:v>
      </x:c>
      <x:c r="K24" s="14" t="str">
        <x:v>沿S03A成型内轮廓留0.2间隙</x:v>
      </x:c>
      <x:c r="L24" s="14" t="str">
        <x:v>内轮廓套样→切孔→焊母→焊接</x:v>
      </x:c>
      <x:c r="M24" s="14" t="str">
        <x:v>S03BC</x:v>
      </x:c>
      <x:c r="N24" s="19" t="n">
        <x:v>30</x:v>
      </x:c>
      <x:c r="O24" s="14" t="str">
        <x:v>配切件；按首件成型内腔</x:v>
      </x:c>
      <x:c r="P24" s="14" t="str">
        <x:v>制造零件数量</x:v>
      </x:c>
      <x:c r="Q24" s="14" t="str">
        <x:v>顾客DWG有效图形 + R01分片</x:v>
      </x:c>
      <x:c r="R24" s="14" t="str">
        <x:v>颜色、光泽、焊缝处理按样板；去毛刺、不得割手</x:v>
      </x:c>
    </x:row>
    <x:row r="25" ht="36" hidden="0" customHeight="1">
      <x:c r="A25" s="13" t="str">
        <x:v>S04</x:v>
      </x:c>
      <x:c r="B25" s="13" t="str">
        <x:v>桌肚四边折边底盘</x:v>
      </x:c>
      <x:c r="C25" s="13" t="str">
        <x:v>A04</x:v>
      </x:c>
      <x:c r="D25" s="13" t="str">
        <x:v>钣金</x:v>
      </x:c>
      <x:c r="E25" s="13" t="str">
        <x:v>冷轧钢板</x:v>
      </x:c>
      <x:c r="F25" s="18" t="n">
        <x:v>1</x:v>
      </x:c>
      <x:c r="G25" s="18" t="n">
        <x:v>1</x:v>
      </x:c>
      <x:c r="H25" s="28" t="str">
        <x:v>件</x:v>
      </x:c>
      <x:c r="I25" s="18" t="n">
        <x:f>IF(ISBLANK(G25),"",G25*$B$4)</x:f>
        <x:v>1</x:v>
      </x:c>
      <x:c r="J25" s="13" t="str">
        <x:v>1769.4×969.4×15</x:v>
      </x:c>
      <x:c r="K25" s="13" t="str">
        <x:v>按成型图、实际板材与折弯机试折反算</x:v>
      </x:c>
      <x:c r="L25" s="13" t="str">
        <x:v>切割→四边折弯→焊接</x:v>
      </x:c>
      <x:c r="M25" s="13" t="str">
        <x:v>S04</x:v>
      </x:c>
      <x:c r="N25" s="20" t="n">
        <x:v>31</x:v>
      </x:c>
      <x:c r="O25" s="13" t="str">
        <x:v>R02门框、X0与中央口接口；展开按实际折弯补偿</x:v>
      </x:c>
      <x:c r="P25" s="13" t="str">
        <x:v>制造零件数量</x:v>
      </x:c>
      <x:c r="Q25" s="13" t="str">
        <x:v>顾客DWG有效图形 + R01分片</x:v>
      </x:c>
      <x:c r="R25" s="13" t="str">
        <x:v>颜色、光泽、焊缝处理按样板；去毛刺、不得割手</x:v>
      </x:c>
    </x:row>
    <x:row r="26" ht="36" hidden="0" customHeight="1">
      <x:c r="A26" s="14" t="str">
        <x:v>S07</x:v>
      </x:c>
      <x:c r="B26" s="14" t="str">
        <x:v>桌肚检修门</x:v>
      </x:c>
      <x:c r="C26" s="14" t="str">
        <x:v>A04</x:v>
      </x:c>
      <x:c r="D26" s="14" t="str">
        <x:v>钣金</x:v>
      </x:c>
      <x:c r="E26" s="14" t="str">
        <x:v>冷轧钢板</x:v>
      </x:c>
      <x:c r="F26" s="17" t="n">
        <x:v>1.5</x:v>
      </x:c>
      <x:c r="G26" s="17" t="n">
        <x:v>2</x:v>
      </x:c>
      <x:c r="H26" s="27" t="str">
        <x:v>件</x:v>
      </x:c>
      <x:c r="I26" s="17" t="n">
        <x:f>IF(ISBLANK(G26),"",G26*$B$4)</x:f>
        <x:v>2</x:v>
      </x:c>
      <x:c r="J26" s="14" t="str">
        <x:v>994.8×154.8×10</x:v>
      </x:c>
      <x:c r="K26" s="14" t="str">
        <x:v>按成型图、实际板材与折弯机试折反算</x:v>
      </x:c>
      <x:c r="L26" s="14" t="str">
        <x:v>成品接口切孔→折弯→装五金→启闭检查</x:v>
      </x:c>
      <x:c r="M26" s="14" t="str">
        <x:v>S07</x:v>
      </x:c>
      <x:c r="N26" s="19" t="n">
        <x:v>32</x:v>
      </x:c>
      <x:c r="O26" s="14" t="str">
        <x:v>成品型号孔图已纳入；到货同版复核</x:v>
      </x:c>
      <x:c r="P26" s="14" t="str">
        <x:v>制造零件数量</x:v>
      </x:c>
      <x:c r="Q26" s="14" t="str">
        <x:v>顾客DWG有效图形 + R01分片</x:v>
      </x:c>
      <x:c r="R26" s="14" t="str">
        <x:v>颜色、光泽、焊缝处理按样板；去毛刺、不得割手</x:v>
      </x:c>
    </x:row>
    <x:row r="27" ht="42" hidden="0" customHeight="1">
      <x:c r="A27" s="13" t="str">
        <x:v>S05</x:v>
      </x:c>
      <x:c r="B27" s="13" t="str">
        <x:v>长向C型加强筋</x:v>
      </x:c>
      <x:c r="C27" s="13" t="str">
        <x:v>A04</x:v>
      </x:c>
      <x:c r="D27" s="13" t="str">
        <x:v>钣金制造件</x:v>
      </x:c>
      <x:c r="E27" s="13" t="str">
        <x:v>冷轧钢板</x:v>
      </x:c>
      <x:c r="F27" s="18" t="n">
        <x:v>2</x:v>
      </x:c>
      <x:c r="G27" s="18" t="n">
        <x:v>2</x:v>
      </x:c>
      <x:c r="H27" s="28" t="str">
        <x:v>件</x:v>
      </x:c>
      <x:c r="I27" s="18" t="n">
        <x:f>IF(ISBLANK(G27),"",G27*$B$4)</x:f>
        <x:v>2</x:v>
      </x:c>
      <x:c r="J27" s="13" t="str">
        <x:v>最大投影1943×30×97；上边1915.4；下边1767</x:v>
      </x:c>
      <x:c r="K27" s="13" t="str"/>
      <x:c r="L27" s="13" t="str">
        <x:v>T2切孔折弯；两端阶梯/斜切；8×φ6.6及1×φ20每根；焊装</x:v>
      </x:c>
      <x:c r="M27" s="13" t="str">
        <x:v>S05</x:v>
      </x:c>
      <x:c r="N27" s="20" t="n">
        <x:v>33</x:v>
      </x:c>
      <x:c r="O27" s="13" t="str">
        <x:v>成型已绘；工艺试制待核</x:v>
      </x:c>
      <x:c r="P27" s="13" t="str">
        <x:v>制造零件数量</x:v>
      </x:c>
      <x:c r="Q27" s="13" t="str">
        <x:v>源BV-BV 0x7EC7..0x7EF2；D节点0x84A2..0x84D5；R01包络与筋距统一</x:v>
      </x:c>
      <x:c r="R27" s="13" t="str">
        <x:v>每桌2根；唇边13，C口相向；净430/外跨490。端接口、折弯补偿与焊接收缩未放行。</x:v>
      </x:c>
    </x:row>
    <x:row r="28" ht="36" hidden="0" customHeight="1">
      <x:c r="A28" s="14" t="str">
        <x:v>S06</x:v>
      </x:c>
      <x:c r="B28" s="14" t="str">
        <x:v>U型卡槽</x:v>
      </x:c>
      <x:c r="C28" s="14" t="str">
        <x:v>A04</x:v>
      </x:c>
      <x:c r="D28" s="14" t="str">
        <x:v>钣金制造件</x:v>
      </x:c>
      <x:c r="E28" s="14" t="str">
        <x:v>冷轧钢板</x:v>
      </x:c>
      <x:c r="F28" s="17" t="n">
        <x:v>1</x:v>
      </x:c>
      <x:c r="G28" s="17" t="n">
        <x:v>2</x:v>
      </x:c>
      <x:c r="H28" s="27" t="str">
        <x:v>件</x:v>
      </x:c>
      <x:c r="I28" s="17" t="n">
        <x:f>IF(ISBLANK(G28),"",G28*$B$4)</x:f>
        <x:v>2</x:v>
      </x:c>
      <x:c r="J28" s="14" t="str">
        <x:v>100长×25底宽×20高；喉口18</x:v>
      </x:c>
      <x:c r="K28" s="14" t="str"/>
      <x:c r="L28" s="14" t="str">
        <x:v>T1折弯；口沿外翻；与底板焊接；表面处理随金属总成</x:v>
      </x:c>
      <x:c r="M28" s="14" t="str">
        <x:v>S06</x:v>
      </x:c>
      <x:c r="N28" s="19" t="n">
        <x:v>34</x:v>
      </x:c>
      <x:c r="O28" s="14" t="str">
        <x:v>成型已绘；工艺试制待核</x:v>
      </x:c>
      <x:c r="P28" s="14" t="str">
        <x:v>制造零件数量</x:v>
      </x:c>
      <x:c r="Q28" s="14" t="str">
        <x:v>源U型卡槽0xD353..0xD35F及18/20/25/100标注；R01按T1归整</x:v>
      </x:c>
      <x:c r="R28" s="14" t="str">
        <x:v>底宽不含外翻唇；中心(315.5,595)/(1674.5,595)，相距1359；先试卡，展开补偿待核。</x:v>
      </x:c>
    </x:row>
    <x:row r="29" ht="36" hidden="0" customHeight="1">
      <x:c r="A29" s="13" t="str">
        <x:v>A08</x:v>
      </x:c>
      <x:c r="B29" s="13" t="str">
        <x:v>桌肚内部加强与检修总成</x:v>
      </x:c>
      <x:c r="C29" s="13" t="str">
        <x:v>A04</x:v>
      </x:c>
      <x:c r="D29" s="13" t="str">
        <x:v>装配</x:v>
      </x:c>
      <x:c r="E29" s="13" t="str">
        <x:v>钢制结构及可拆连接</x:v>
      </x:c>
      <x:c r="F29" s="18"/>
      <x:c r="G29" s="18" t="n">
        <x:v>1</x:v>
      </x:c>
      <x:c r="H29" s="28" t="str">
        <x:v>组</x:v>
      </x:c>
      <x:c r="I29" s="18" t="n">
        <x:f>IF(ISBLANK(G29),"",G29*$B$4)</x:f>
        <x:v>1</x:v>
      </x:c>
      <x:c r="J29" s="13" t="str">
        <x:v>沿用2000×1200×900；详子件</x:v>
      </x:c>
      <x:c r="K29" s="13" t="str"/>
      <x:c r="L29" s="13" t="str">
        <x:v>按成型三视制作→去毛刺→试装→按样板表面处理</x:v>
      </x:c>
      <x:c r="M29" s="13" t="str">
        <x:v>A08</x:v>
      </x:c>
      <x:c r="N29" s="20" t="n">
        <x:v>35</x:v>
      </x:c>
      <x:c r="O29" s="13" t="str">
        <x:v>R02成型与检修包络；承载/连接强度/首件未验证</x:v>
      </x:c>
      <x:c r="P29" s="13" t="str">
        <x:v>装配数量；材料按子件领用</x:v>
      </x:c>
      <x:c r="Q29" s="13" t="str">
        <x:v>R02用户要求；保留R01外包、C筋与承托盒；新增服务结构</x:v>
      </x:c>
      <x:c r="R29" s="13" t="str">
        <x:v>装配项不重复领料；首件与载荷待核</x:v>
      </x:c>
    </x:row>
    <x:row r="30" ht="36" hidden="0" customHeight="1">
      <x:c r="A30" s="14" t="str">
        <x:v>S08</x:v>
      </x:c>
      <x:c r="B30" s="14" t="str">
        <x:v>可拆横梁焊接总成</x:v>
      </x:c>
      <x:c r="C30" s="14" t="str">
        <x:v>A08</x:v>
      </x:c>
      <x:c r="D30" s="14" t="str">
        <x:v>装配</x:v>
      </x:c>
      <x:c r="E30" s="14" t="str">
        <x:v>钢矩管+端板+焊母</x:v>
      </x:c>
      <x:c r="F30" s="17"/>
      <x:c r="G30" s="17" t="n">
        <x:v>4</x:v>
      </x:c>
      <x:c r="H30" s="27" t="str">
        <x:v>组</x:v>
      </x:c>
      <x:c r="I30" s="17" t="n">
        <x:f>IF(ISBLANK(G30),"",G30*$B$4)</x:f>
        <x:v>4</x:v>
      </x:c>
      <x:c r="J30" s="14" t="str">
        <x:v>478×60×60；管身40×50×472</x:v>
      </x:c>
      <x:c r="K30" s="14" t="str"/>
      <x:c r="L30" s="14" t="str">
        <x:v>按成型三视制作→去毛刺→试装→按样板表面处理</x:v>
      </x:c>
      <x:c r="M30" s="14" t="str">
        <x:v>S08</x:v>
      </x:c>
      <x:c r="N30" s="19" t="n">
        <x:v>36</x:v>
      </x:c>
      <x:c r="O30" s="14" t="str">
        <x:v>R02成型与检修包络；承载/连接强度/首件未验证</x:v>
      </x:c>
      <x:c r="P30" s="14" t="str">
        <x:v>装配数量；材料按子件领用</x:v>
      </x:c>
      <x:c r="Q30" s="14" t="str">
        <x:v>R02用户要求；保留R01外包、C筋与承托盒；新增服务结构</x:v>
      </x:c>
      <x:c r="R30" s="14" t="str">
        <x:v>4×M6/组；子件另计</x:v>
      </x:c>
    </x:row>
    <x:row r="31" ht="36" hidden="0" customHeight="1">
      <x:c r="A31" s="13" t="str">
        <x:v>S08A</x:v>
      </x:c>
      <x:c r="B31" s="13" t="str">
        <x:v>横梁矩管身</x:v>
      </x:c>
      <x:c r="C31" s="13" t="str">
        <x:v>S08</x:v>
      </x:c>
      <x:c r="D31" s="13" t="str">
        <x:v>钣金制造件</x:v>
      </x:c>
      <x:c r="E31" s="13" t="str">
        <x:v>钢矩形管，牌号待载荷确认</x:v>
      </x:c>
      <x:c r="F31" s="18" t="n">
        <x:v>2</x:v>
      </x:c>
      <x:c r="G31" s="18" t="n">
        <x:v>4</x:v>
      </x:c>
      <x:c r="H31" s="28" t="str">
        <x:v>件</x:v>
      </x:c>
      <x:c r="I31" s="18" t="n">
        <x:f>IF(ISBLANK(G31),"",G31*$B$4)</x:f>
        <x:v>4</x:v>
      </x:c>
      <x:c r="J31" s="13" t="str">
        <x:v>40×50×T2，L472</x:v>
      </x:c>
      <x:c r="K31" s="13" t="str"/>
      <x:c r="L31" s="13" t="str">
        <x:v>按成型三视制作→去毛刺→试装→按样板表面处理</x:v>
      </x:c>
      <x:c r="M31" s="13" t="str">
        <x:v>S08</x:v>
      </x:c>
      <x:c r="N31" s="20" t="n">
        <x:v>36</x:v>
      </x:c>
      <x:c r="O31" s="13" t="str">
        <x:v>R02成型与检修包络；承载/连接强度/首件未验证</x:v>
      </x:c>
      <x:c r="P31" s="13" t="str">
        <x:v>制造零件数量</x:v>
      </x:c>
      <x:c r="Q31" s="13" t="str">
        <x:v>R02用户要求；保留R01外包、C筋与承托盒；新增服务结构</x:v>
      </x:c>
      <x:c r="R31" s="13" t="str">
        <x:v>截面是初选；不能据此宣称承载通过</x:v>
      </x:c>
    </x:row>
    <x:row r="32" ht="36" hidden="0" customHeight="1">
      <x:c r="A32" s="14" t="str">
        <x:v>S09A</x:v>
      </x:c>
      <x:c r="B32" s="14" t="str">
        <x:v>可拆横梁端板</x:v>
      </x:c>
      <x:c r="C32" s="14" t="str">
        <x:v>S08</x:v>
      </x:c>
      <x:c r="D32" s="14" t="str">
        <x:v>钣金制造件</x:v>
      </x:c>
      <x:c r="E32" s="14" t="str">
        <x:v>钢板</x:v>
      </x:c>
      <x:c r="F32" s="17" t="n">
        <x:v>3</x:v>
      </x:c>
      <x:c r="G32" s="17" t="n">
        <x:v>8</x:v>
      </x:c>
      <x:c r="H32" s="27" t="str">
        <x:v>件</x:v>
      </x:c>
      <x:c r="I32" s="17" t="n">
        <x:f>IF(ISBLANK(G32),"",G32*$B$4)</x:f>
        <x:v>8</x:v>
      </x:c>
      <x:c r="J32" s="14" t="str">
        <x:v>60×60×3；2-φ8 H11@(30,18)/(30,42)</x:v>
      </x:c>
      <x:c r="K32" s="14" t="str"/>
      <x:c r="L32" s="14" t="str">
        <x:v>按成型三视制作→去毛刺→试装→按样板表面处理</x:v>
      </x:c>
      <x:c r="M32" s="14" t="str">
        <x:v>S09A</x:v>
      </x:c>
      <x:c r="N32" s="19" t="n">
        <x:v>37</x:v>
      </x:c>
      <x:c r="O32" s="14" t="str">
        <x:v>R02成型与检修包络；承载/连接强度/首件未验证</x:v>
      </x:c>
      <x:c r="P32" s="14" t="str">
        <x:v>制造零件数量</x:v>
      </x:c>
      <x:c r="Q32" s="14" t="str">
        <x:v>R02用户要求；保留R01外包、C筋与承托盒；新增服务结构</x:v>
      </x:c>
      <x:c r="R32" s="14" t="str"/>
    </x:row>
    <x:row r="33" ht="36" hidden="0" customHeight="1">
      <x:c r="A33" s="13" t="str">
        <x:v>S09B</x:v>
      </x:c>
      <x:c r="B33" s="13" t="str">
        <x:v>桌面M6固定耳</x:v>
      </x:c>
      <x:c r="C33" s="13" t="str">
        <x:v>A08</x:v>
      </x:c>
      <x:c r="D33" s="13" t="str">
        <x:v>钣金制造件</x:v>
      </x:c>
      <x:c r="E33" s="13" t="str">
        <x:v>钢板</x:v>
      </x:c>
      <x:c r="F33" s="18" t="n">
        <x:v>3</x:v>
      </x:c>
      <x:c r="G33" s="18" t="n">
        <x:v>8</x:v>
      </x:c>
      <x:c r="H33" s="28" t="str">
        <x:v>件</x:v>
      </x:c>
      <x:c r="I33" s="18" t="n">
        <x:f>IF(ISBLANK(G33),"",G33*$B$4)</x:f>
        <x:v>8</x:v>
      </x:c>
      <x:c r="J33" s="13" t="str">
        <x:v>X宽40×水平40×高35；T3；6.6×12槽</x:v>
      </x:c>
      <x:c r="K33" s="13" t="str"/>
      <x:c r="L33" s="13" t="str">
        <x:v>按成型三视制作→去毛刺→试装→按样板表面处理</x:v>
      </x:c>
      <x:c r="M33" s="13" t="str">
        <x:v>S09B</x:v>
      </x:c>
      <x:c r="N33" s="20" t="n">
        <x:v>38</x:v>
      </x:c>
      <x:c r="O33" s="13" t="str">
        <x:v>R02成型与检修包络；承载/连接强度/首件未验证</x:v>
      </x:c>
      <x:c r="P33" s="13" t="str">
        <x:v>制造零件数量</x:v>
      </x:c>
      <x:c r="Q33" s="13" t="str">
        <x:v>R02用户要求；保留R01外包、C筋与承托盒；新增服务结构</x:v>
      </x:c>
      <x:c r="R33" s="13" t="str">
        <x:v>顶面Z882；沿两C筋外侧焊接；旧木螺钉接口取消</x:v>
      </x:c>
    </x:row>
    <x:row r="34" ht="36" hidden="0" customHeight="1">
      <x:c r="A34" s="14" t="str">
        <x:v>S09C</x:v>
      </x:c>
      <x:c r="B34" s="14" t="str">
        <x:v>承托盒抱角</x:v>
      </x:c>
      <x:c r="C34" s="14" t="str">
        <x:v>A08</x:v>
      </x:c>
      <x:c r="D34" s="14" t="str">
        <x:v>钣金制造件</x:v>
      </x:c>
      <x:c r="E34" s="14" t="str">
        <x:v>钢板</x:v>
      </x:c>
      <x:c r="F34" s="17" t="n">
        <x:v>2</x:v>
      </x:c>
      <x:c r="G34" s="17" t="n">
        <x:v>8</x:v>
      </x:c>
      <x:c r="H34" s="27" t="str">
        <x:v>件</x:v>
      </x:c>
      <x:c r="I34" s="17" t="n">
        <x:f>IF(ISBLANK(G34),"",G34*$B$4)</x:f>
        <x:v>8</x:v>
      </x:c>
      <x:c r="J34" s="14" t="str">
        <x:v>Y宽50×X包35×Z高49；T2；側φ6 H11</x:v>
      </x:c>
      <x:c r="K34" s="14" t="str"/>
      <x:c r="L34" s="14" t="str">
        <x:v>按成型三视制作→去毛刺→试装→按样板表面处理</x:v>
      </x:c>
      <x:c r="M34" s="14" t="str">
        <x:v>S09C</x:v>
      </x:c>
      <x:c r="N34" s="19" t="n">
        <x:v>39</x:v>
      </x:c>
      <x:c r="O34" s="14" t="str">
        <x:v>R02成型与检修包络；承载/连接强度/首件未验证</x:v>
      </x:c>
      <x:c r="P34" s="14" t="str">
        <x:v>制造零件数量</x:v>
      </x:c>
      <x:c r="Q34" s="14" t="str">
        <x:v>R02用户要求；保留R01外包、C筋与承托盒；新增服务结构</x:v>
      </x:c>
      <x:c r="R34" s="14" t="str">
        <x:v>同件左右各4；右向绕Z转180°装；M4从盒内拆装</x:v>
      </x:c>
    </x:row>
    <x:row r="35" ht="36" hidden="0" customHeight="1">
      <x:c r="A35" s="13" t="str">
        <x:v>S10A</x:v>
      </x:c>
      <x:c r="B35" s="13" t="str">
        <x:v>中央搭接检修盖</x:v>
      </x:c>
      <x:c r="C35" s="13" t="str">
        <x:v>A08</x:v>
      </x:c>
      <x:c r="D35" s="13" t="str">
        <x:v>钣金制造件</x:v>
      </x:c>
      <x:c r="E35" s="13" t="str">
        <x:v>钢板</x:v>
      </x:c>
      <x:c r="F35" s="18" t="n">
        <x:v>1.5</x:v>
      </x:c>
      <x:c r="G35" s="18" t="n">
        <x:v>1</x:v>
      </x:c>
      <x:c r="H35" s="28" t="str">
        <x:v>件</x:v>
      </x:c>
      <x:c r="I35" s="18" t="n">
        <x:f>IF(ISBLANK(G35),"",G35*$B$4)</x:f>
        <x:v>1</x:v>
      </x:c>
      <x:c r="J35" s="13" t="str">
        <x:v>340×380×1.5；开口300×340</x:v>
      </x:c>
      <x:c r="K35" s="13" t="str"/>
      <x:c r="L35" s="13" t="str">
        <x:v>按成型三视制作→去毛刺→试装→按样板表面处理</x:v>
      </x:c>
      <x:c r="M35" s="13" t="str">
        <x:v>S10</x:v>
      </x:c>
      <x:c r="N35" s="20" t="n">
        <x:v>40</x:v>
      </x:c>
      <x:c r="O35" s="13" t="str">
        <x:v>R02成型与检修包络；承载/连接强度/首件未验证</x:v>
      </x:c>
      <x:c r="P35" s="13" t="str">
        <x:v>制造零件数量</x:v>
      </x:c>
      <x:c r="Q35" s="13" t="str">
        <x:v>R02用户要求；保留R01外包、C筋与承托盒；新增服务结构</x:v>
      </x:c>
      <x:c r="R35" s="13" t="str">
        <x:v>4防脱M5+2防坠线；卸下竖挂后露出窗口</x:v>
      </x:c>
    </x:row>
    <x:row r="36" ht="36" hidden="0" customHeight="1">
      <x:c r="A36" s="14" t="str">
        <x:v>S10B</x:v>
      </x:c>
      <x:c r="B36" s="14" t="str">
        <x:v>分线盒吊检修安装板</x:v>
      </x:c>
      <x:c r="C36" s="14" t="str">
        <x:v>A08</x:v>
      </x:c>
      <x:c r="D36" s="14" t="str">
        <x:v>钣金制造件</x:v>
      </x:c>
      <x:c r="E36" s="14" t="str">
        <x:v>钢板</x:v>
      </x:c>
      <x:c r="F36" s="17" t="n">
        <x:v>2</x:v>
      </x:c>
      <x:c r="G36" s="17" t="n">
        <x:v>1</x:v>
      </x:c>
      <x:c r="H36" s="27" t="str">
        <x:v>件</x:v>
      </x:c>
      <x:c r="I36" s="17" t="n">
        <x:f>IF(ISBLANK(G36),"",G36*$B$4)</x:f>
        <x:v>1</x:v>
      </x:c>
      <x:c r="J36" s="14" t="str">
        <x:v>240×300×2；4-M5防脱吊点</x:v>
      </x:c>
      <x:c r="K36" s="14" t="str"/>
      <x:c r="L36" s="14" t="str">
        <x:v>按成型三视制作→去毛刺→试装→按样板表面处理</x:v>
      </x:c>
      <x:c r="M36" s="14" t="str">
        <x:v>S10</x:v>
      </x:c>
      <x:c r="N36" s="19" t="n">
        <x:v>40</x:v>
      </x:c>
      <x:c r="O36" s="14" t="str">
        <x:v>R02成型与检修包络；承载/连接强度/首件未验证</x:v>
      </x:c>
      <x:c r="P36" s="14" t="str">
        <x:v>制造零件数量</x:v>
      </x:c>
      <x:c r="Q36" s="14" t="str">
        <x:v>R02用户要求；保留R01外包、C筋与承托盒；新增服务结构</x:v>
      </x:c>
      <x:c r="R36" s="14" t="str">
        <x:v>由S10C支承；盒孔依厂家模板；下放175.45；2独立吊线</x:v>
      </x:c>
    </x:row>
    <x:row r="37" ht="36" hidden="0" customHeight="1">
      <x:c r="A37" s="13" t="str">
        <x:v>S10C</x:v>
      </x:c>
      <x:c r="B37" s="13" t="str">
        <x:v>分线盒检修板悬臂</x:v>
      </x:c>
      <x:c r="C37" s="13" t="str">
        <x:v>A08</x:v>
      </x:c>
      <x:c r="D37" s="13" t="str">
        <x:v>钣金制造件</x:v>
      </x:c>
      <x:c r="E37" s="13" t="str">
        <x:v>钢板</x:v>
      </x:c>
      <x:c r="F37" s="18" t="n">
        <x:v>3</x:v>
      </x:c>
      <x:c r="G37" s="18" t="n">
        <x:v>4</x:v>
      </x:c>
      <x:c r="H37" s="28" t="str">
        <x:v>件</x:v>
      </x:c>
      <x:c r="I37" s="18" t="n">
        <x:f>IF(ISBLANK(G37),"",G37*$B$4)</x:f>
        <x:v>4</x:v>
      </x:c>
      <x:c r="J37" s="13" t="str">
        <x:v>沿Y20×X包85×Z高49；T3</x:v>
      </x:c>
      <x:c r="K37" s="13" t="str"/>
      <x:c r="L37" s="13" t="str">
        <x:v>按成型三视制作→去毛刺→试装→按样板表面处理</x:v>
      </x:c>
      <x:c r="M37" s="13" t="str">
        <x:v>S10C</x:v>
      </x:c>
      <x:c r="N37" s="20" t="n">
        <x:v>41</x:v>
      </x:c>
      <x:c r="O37" s="13" t="str">
        <x:v>R02成型与检修包络；承载/连接强度/首件未验证</x:v>
      </x:c>
      <x:c r="P37" s="13" t="str">
        <x:v>制造零件数量</x:v>
      </x:c>
      <x:c r="Q37" s="13" t="str">
        <x:v>R02用户要求；保留R01外包、C筋与承托盒；新增服务结构</x:v>
      </x:c>
      <x:c r="R37" s="13" t="str">
        <x:v>同件左右转180°装；焊于邻梁；M5焊母另计</x:v>
      </x:c>
    </x:row>
    <x:row r="38" ht="36" hidden="0" customHeight="1">
      <x:c r="A38" s="14" t="str">
        <x:v>S10D</x:v>
      </x:c>
      <x:c r="B38" s="14" t="str">
        <x:v>中央盖M5焊母补强片</x:v>
      </x:c>
      <x:c r="C38" s="14" t="str">
        <x:v>A08</x:v>
      </x:c>
      <x:c r="D38" s="14" t="str">
        <x:v>钣金制造件</x:v>
      </x:c>
      <x:c r="E38" s="14" t="str">
        <x:v>钢板</x:v>
      </x:c>
      <x:c r="F38" s="17" t="n">
        <x:v>2</x:v>
      </x:c>
      <x:c r="G38" s="17" t="n">
        <x:v>4</x:v>
      </x:c>
      <x:c r="H38" s="27" t="str">
        <x:v>件</x:v>
      </x:c>
      <x:c r="I38" s="17" t="n">
        <x:f>IF(ISBLANK(G38),"",G38*$B$4)</x:f>
        <x:v>4</x:v>
      </x:c>
      <x:c r="J38" s="14" t="str">
        <x:v>20×20×2；中心φ7 H11</x:v>
      </x:c>
      <x:c r="K38" s="14" t="str"/>
      <x:c r="L38" s="14" t="str">
        <x:v>按成型三视制作→去毛刺→试装→按样板表面处理</x:v>
      </x:c>
      <x:c r="M38" s="14" t="str">
        <x:v>S10DE</x:v>
      </x:c>
      <x:c r="N38" s="19" t="n">
        <x:v>42</x:v>
      </x:c>
      <x:c r="O38" s="14" t="str">
        <x:v>R02成型与检修包络；承载/连接强度/首件未验证</x:v>
      </x:c>
      <x:c r="P38" s="14" t="str">
        <x:v>制造零件数量</x:v>
      </x:c>
      <x:c r="Q38" s="14" t="str">
        <x:v>R02用户要求；保留R01外包、C筋与承托盒；新增服务结构</x:v>
      </x:c>
      <x:c r="R38" s="14" t="str">
        <x:v>焊在底盘内面；不改变1.5+1+2紧固叠层</x:v>
      </x:c>
    </x:row>
    <x:row r="39" ht="36" hidden="0" customHeight="1">
      <x:c r="A39" s="13" t="str">
        <x:v>S10E</x:v>
      </x:c>
      <x:c r="B39" s="13" t="str">
        <x:v>检修门锁接收槽形座</x:v>
      </x:c>
      <x:c r="C39" s="13" t="str">
        <x:v>A08</x:v>
      </x:c>
      <x:c r="D39" s="13" t="str">
        <x:v>钣金制造件</x:v>
      </x:c>
      <x:c r="E39" s="13" t="str">
        <x:v>冷轧钢板</x:v>
      </x:c>
      <x:c r="F39" s="18" t="n">
        <x:v>1.5</x:v>
      </x:c>
      <x:c r="G39" s="18" t="n">
        <x:v>2</x:v>
      </x:c>
      <x:c r="H39" s="28" t="str">
        <x:v>件</x:v>
      </x:c>
      <x:c r="I39" s="18" t="n">
        <x:f>IF(ISBLANK(G39),"",G39*$B$4)</x:f>
        <x:v>2</x:v>
      </x:c>
      <x:c r="J39" s="13" t="str">
        <x:v>30×12×18.3；T1.5</x:v>
      </x:c>
      <x:c r="K39" s="13" t="str"/>
      <x:c r="L39" s="13" t="str">
        <x:v>按成型三视制作→去毛刺→试装→按样板表面处理</x:v>
      </x:c>
      <x:c r="M39" s="13" t="str">
        <x:v>S10DE</x:v>
      </x:c>
      <x:c r="N39" s="20" t="n">
        <x:v>42</x:v>
      </x:c>
      <x:c r="O39" s="13" t="str">
        <x:v>R02成型与检修包络；承载/连接强度/首件未验证</x:v>
      </x:c>
      <x:c r="P39" s="13" t="str">
        <x:v>制造零件数量</x:v>
      </x:c>
      <x:c r="Q39" s="13" t="str">
        <x:v>R02用户要求；保留R01外包、C筋与承托盒；新增服务结构</x:v>
      </x:c>
      <x:c r="R39" s="13" t="str">
        <x:v>接收面Z801.3；与锁舌0.2名义间隙、搭接10.4，须首件试扣</x:v>
      </x:c>
    </x:row>
    <x:row r="40" ht="36" hidden="0" customHeight="1">
      <x:c r="A40" s="14" t="str">
        <x:v>E01</x:v>
      </x:c>
      <x:c r="B40" s="14" t="str">
        <x:v>桌面三位五孔+3USB排插</x:v>
      </x:c>
      <x:c r="C40" s="14" t="str">
        <x:v>A04</x:v>
      </x:c>
      <x:c r="D40" s="14" t="str">
        <x:v>电气采购</x:v>
      </x:c>
      <x:c r="E40" s="14" t="str">
        <x:v>定型采购</x:v>
      </x:c>
      <x:c r="F40" s="17"/>
      <x:c r="G40" s="17" t="n">
        <x:v>2</x:v>
      </x:c>
      <x:c r="H40" s="27" t="str">
        <x:v>个</x:v>
      </x:c>
      <x:c r="I40" s="17" t="n">
        <x:f>IF(ISBLANK(G40),"",G40*$B$4)</x:f>
        <x:v>2</x:v>
      </x:c>
      <x:c r="J40" s="14" t="str">
        <x:v>每盒1个；公牛UU3653候选(1A+2C)</x:v>
      </x:c>
      <x:c r="K40" s="14" t="str">
        <x:v>成品采购；按安装接口和同版证据选配</x:v>
      </x:c>
      <x:c r="L40" s="14" t="str">
        <x:v>原装插头接X1/X2</x:v>
      </x:c>
      <x:c r="M40" s="14" t="str">
        <x:v>E06</x:v>
      </x:c>
      <x:c r="N40" s="19" t="n">
        <x:v>48</x:v>
      </x:c>
      <x:c r="O40" s="14" t="str">
        <x:v>数量与接口已定；产品适用认证/到货模板/实物验收待核</x:v>
      </x:c>
      <x:c r="P40" s="14" t="str">
        <x:v>采购数量</x:v>
      </x:c>
      <x:c r="Q40" s="14" t="str">
        <x:v>R03装配导航；R02电气采购证据与R03孔路线数据</x:v>
      </x:c>
      <x:c r="R40" s="14" t="str">
        <x:v>若需3USB-A须另选；厂家未给到货外包，实插净空待验</x:v>
      </x:c>
    </x:row>
    <x:row r="41" ht="36" hidden="0" customHeight="1">
      <x:c r="A41" s="13" t="str">
        <x:v>E02</x:v>
      </x:c>
      <x:c r="B41" s="13" t="str">
        <x:v>桌肚八位五孔排插</x:v>
      </x:c>
      <x:c r="C41" s="13" t="str">
        <x:v>S07</x:v>
      </x:c>
      <x:c r="D41" s="13" t="str">
        <x:v>电气采购</x:v>
      </x:c>
      <x:c r="E41" s="13" t="str">
        <x:v>定型采购</x:v>
      </x:c>
      <x:c r="F41" s="18"/>
      <x:c r="G41" s="18" t="n">
        <x:v>2</x:v>
      </x:c>
      <x:c r="H41" s="28" t="str">
        <x:v>个</x:v>
      </x:c>
      <x:c r="I41" s="18" t="n">
        <x:f>IF(ISBLANK(G41),"",G41*$B$4)</x:f>
        <x:v>2</x:v>
      </x:c>
      <x:c r="J41" s="13" t="str">
        <x:v>公牛GN-604候选；每门1个</x:v>
      </x:c>
      <x:c r="K41" s="13" t="str">
        <x:v>成品采购；按安装接口和同版证据选配</x:v>
      </x:c>
      <x:c r="L41" s="13" t="str">
        <x:v>原装插头接X3/X4</x:v>
      </x:c>
      <x:c r="M41" s="13" t="str">
        <x:v>E05</x:v>
      </x:c>
      <x:c r="N41" s="20" t="n">
        <x:v>47</x:v>
      </x:c>
      <x:c r="O41" s="13" t="str">
        <x:v>数量与接口已定；产品适用认证/到货模板/实物验收待核</x:v>
      </x:c>
      <x:c r="P41" s="13" t="str">
        <x:v>采购数量</x:v>
      </x:c>
      <x:c r="Q41" s="13" t="str">
        <x:v>R03装配导航；R02电气采购证据与R03孔路线数据</x:v>
      </x:c>
      <x:c r="R41" s="13" t="str">
        <x:v>门内验收包络400×100×86.5含固定器/插头；非厂家外形，须到货实插</x:v>
      </x:c>
    </x:row>
    <x:row r="42" ht="36" hidden="0" customHeight="1">
      <x:c r="A42" s="14" t="str">
        <x:v>E03</x:v>
      </x:c>
      <x:c r="B42" s="14" t="str">
        <x:v>明装安全五孔插座</x:v>
      </x:c>
      <x:c r="C42" s="14" t="str">
        <x:v>A01</x:v>
      </x:c>
      <x:c r="D42" s="14" t="str">
        <x:v>电气采购</x:v>
      </x:c>
      <x:c r="E42" s="14" t="str">
        <x:v>定型采购</x:v>
      </x:c>
      <x:c r="F42" s="17"/>
      <x:c r="G42" s="17" t="n">
        <x:v>1</x:v>
      </x:c>
      <x:c r="H42" s="27" t="str">
        <x:v>个</x:v>
      </x:c>
      <x:c r="I42" s="17" t="n">
        <x:f>IF(ISBLANK(G42),"",G42*$B$4)</x:f>
        <x:v>1</x:v>
      </x:c>
      <x:c r="J42" s="14" t="str">
        <x:v>10A接地安全型；NEW1-C11100A候选</x:v>
      </x:c>
      <x:c r="K42" s="14" t="str">
        <x:v>成品采购；按安装接口和同版证据选配</x:v>
      </x:c>
      <x:c r="L42" s="14" t="str">
        <x:v>第五支路X5直接端子接线</x:v>
      </x:c>
      <x:c r="M42" s="14" t="str">
        <x:v>E01</x:v>
      </x:c>
      <x:c r="N42" s="19" t="n">
        <x:v>43</x:v>
      </x:c>
      <x:c r="O42" s="14" t="str">
        <x:v>数量与接口已定；产品适用认证/到货模板/实物验收待核</x:v>
      </x:c>
      <x:c r="P42" s="14" t="str">
        <x:v>采购数量</x:v>
      </x:c>
      <x:c r="Q42" s="14" t="str">
        <x:v>R03装配导航；R02电气采购证据与R03孔路线数据</x:v>
      </x:c>
      <x:c r="R42" s="14" t="str">
        <x:v>型号CCC、厂家接线图和外包待核，不锁定孔距</x:v>
      </x:c>
    </x:row>
    <x:row r="43" ht="36" hidden="0" customHeight="1">
      <x:c r="A43" s="13" t="str">
        <x:v>E04</x:v>
      </x:c>
      <x:c r="B43" s="13" t="str">
        <x:v>三芯内部分支线束</x:v>
      </x:c>
      <x:c r="C43" s="13" t="str">
        <x:v>A01</x:v>
      </x:c>
      <x:c r="D43" s="13" t="str">
        <x:v>电气辅材</x:v>
      </x:c>
      <x:c r="E43" s="13" t="str">
        <x:v>定型采购</x:v>
      </x:c>
      <x:c r="F43" s="18"/>
      <x:c r="G43" s="18"/>
      <x:c r="H43" s="28" t="str">
        <x:v>m</x:v>
      </x:c>
      <x:c r="I43" s="18" t="str">
        <x:f>IF(ISBLANK(G43),"",G43*$B$4)</x:f>
      </x:c>
      <x:c r="J43" s="13" t="str">
        <x:v>3×1.5mm²；W00/W1~W5</x:v>
      </x:c>
      <x:c r="K43" s="13" t="str">
        <x:v>成品采购；按安装接口和同版证据选配</x:v>
      </x:c>
      <x:c r="L43" s="13" t="str">
        <x:v>按实测配长、端头压接、套号</x:v>
      </x:c>
      <x:c r="M43" s="13" t="str">
        <x:v>E01</x:v>
      </x:c>
      <x:c r="N43" s="20" t="n">
        <x:v>43</x:v>
      </x:c>
      <x:c r="O43" s="13" t="str">
        <x:v>长度待实测；未填0或估算领料</x:v>
      </x:c>
      <x:c r="P43" s="13" t="str">
        <x:v>采购数量</x:v>
      </x:c>
      <x:c r="Q43" s="13" t="str">
        <x:v>R03装配导航；R02电气采购证据与R03孔路线数据</x:v>
      </x:c>
      <x:c r="R43" s="13" t="str">
        <x:v>W00外径≤8.5且厂家静态弯曲半径≤30；活动段另核；不剪改排插原线</x:v>
      </x:c>
    </x:row>
    <x:row r="44" ht="36" hidden="0" customHeight="1">
      <x:c r="A44" s="14" t="str">
        <x:v>E05</x:v>
      </x:c>
      <x:c r="B44" s="14" t="str">
        <x:v>桌肚过线保护管</x:v>
      </x:c>
      <x:c r="C44" s="14" t="str">
        <x:v>A01</x:v>
      </x:c>
      <x:c r="D44" s="14" t="str">
        <x:v>电气辅材</x:v>
      </x:c>
      <x:c r="E44" s="14" t="str">
        <x:v>定型采购</x:v>
      </x:c>
      <x:c r="F44" s="17"/>
      <x:c r="G44" s="17"/>
      <x:c r="H44" s="27" t="str">
        <x:v>m</x:v>
      </x:c>
      <x:c r="I44" s="17" t="str">
        <x:f>IF(ISBLANK(G44),"",G44*$B$4)</x:f>
      </x:c>
      <x:c r="J44" s="14" t="str">
        <x:v>实际外径≤25；本版过梁层净34</x:v>
      </x:c>
      <x:c r="K44" s="14" t="str">
        <x:v>成品采购；按安装接口和同版证据选配</x:v>
      </x:c>
      <x:c r="L44" s="14" t="str">
        <x:v>成品护管/管口保护及固定</x:v>
      </x:c>
      <x:c r="M44" s="14" t="str">
        <x:v>E05</x:v>
      </x:c>
      <x:c r="N44" s="19" t="n">
        <x:v>47</x:v>
      </x:c>
      <x:c r="O44" s="14" t="str">
        <x:v>长度待实测；未填0或估算领料</x:v>
      </x:c>
      <x:c r="P44" s="14" t="str">
        <x:v>采购数量</x:v>
      </x:c>
      <x:c r="Q44" s="14" t="str">
        <x:v>R03装配导航；R02电气采购证据与R03孔路线数据</x:v>
      </x:c>
      <x:c r="R44" s="14" t="str">
        <x:v>源≥25管须核外径，DN25不等于外径25；不进入桌腿</x:v>
      </x:c>
    </x:row>
    <x:row r="45" ht="36" hidden="0" customHeight="1">
      <x:c r="A45" s="13" t="str">
        <x:v>E06</x:v>
      </x:c>
      <x:c r="B45" s="13" t="str">
        <x:v>绝缘套管及线号配套</x:v>
      </x:c>
      <x:c r="C45" s="13" t="str">
        <x:v>A01</x:v>
      </x:c>
      <x:c r="D45" s="13" t="str">
        <x:v>电气辅材</x:v>
      </x:c>
      <x:c r="E45" s="13" t="str">
        <x:v>定型采购</x:v>
      </x:c>
      <x:c r="F45" s="18"/>
      <x:c r="G45" s="18" t="n">
        <x:v>1</x:v>
      </x:c>
      <x:c r="H45" s="28" t="str">
        <x:v>套</x:v>
      </x:c>
      <x:c r="I45" s="18" t="n">
        <x:f>IF(ISBLANK(G45),"",G45*$B$4)</x:f>
        <x:v>1</x:v>
      </x:c>
      <x:c r="J45" s="13" t="str">
        <x:v>黄腊管/热缩管、永久线号</x:v>
      </x:c>
      <x:c r="K45" s="13" t="str">
        <x:v>成品采购；按安装接口和同版证据选配</x:v>
      </x:c>
      <x:c r="L45" s="13" t="str">
        <x:v>按接线点实配</x:v>
      </x:c>
      <x:c r="M45" s="13" t="str">
        <x:v>E03</x:v>
      </x:c>
      <x:c r="N45" s="20" t="n">
        <x:v>45</x:v>
      </x:c>
      <x:c r="O45" s="13" t="str">
        <x:v>数量与接口已定；产品适用认证/到货模板/实物验收待核</x:v>
      </x:c>
      <x:c r="P45" s="13" t="str">
        <x:v>采购数量</x:v>
      </x:c>
      <x:c r="Q45" s="13" t="str">
        <x:v>R03装配导航；R02电气采购证据与R03孔路线数据</x:v>
      </x:c>
      <x:c r="R45" s="13" t="str">
        <x:v>仅附加绝缘；不得替代护套、护口或封闭接线盒</x:v>
      </x:c>
    </x:row>
    <x:row r="46" ht="36" hidden="0" customHeight="1">
      <x:c r="A46" s="14" t="str">
        <x:v>E07</x:v>
      </x:c>
      <x:c r="B46" s="14" t="str">
        <x:v>中央成品分线盒与内板</x:v>
      </x:c>
      <x:c r="C46" s="14" t="str">
        <x:v>S10B</x:v>
      </x:c>
      <x:c r="D46" s="14" t="str">
        <x:v>电气采购</x:v>
      </x:c>
      <x:c r="E46" s="14" t="str">
        <x:v>定型采购</x:v>
      </x:c>
      <x:c r="F46" s="17"/>
      <x:c r="G46" s="17" t="n">
        <x:v>1</x:v>
      </x:c>
      <x:c r="H46" s="27" t="str">
        <x:v>套</x:v>
      </x:c>
      <x:c r="I46" s="17" t="n">
        <x:f>IF(ISBLANK(G46),"",G46*$B$4)</x:f>
        <x:v>1</x:v>
      </x:c>
      <x:c r="J46" s="14" t="str">
        <x:v>1557HA2GY箱体＋1557HPL内板各1</x:v>
      </x:c>
      <x:c r="K46" s="14" t="str">
        <x:v>成品采购；按安装接口和同版证据选配</x:v>
      </x:c>
      <x:c r="L46" s="14" t="str">
        <x:v>盖向下，配S10可下放支架</x:v>
      </x:c>
      <x:c r="M46" s="14" t="str">
        <x:v>E04</x:v>
      </x:c>
      <x:c r="N46" s="19" t="n">
        <x:v>46</x:v>
      </x:c>
      <x:c r="O46" s="14" t="str">
        <x:v>数量与接口已定；产品适用认证/到货模板/实物验收待核</x:v>
      </x:c>
      <x:c r="P46" s="14" t="str">
        <x:v>采购数量</x:v>
      </x:c>
      <x:c r="Q46" s="14" t="str">
        <x:v>R03装配导航；R02电气采购证据与R03孔路线数据</x:v>
      </x:c>
      <x:c r="R46" s="14" t="str">
        <x:v>箱200×200×70；另购内板182×182×2.05，不当作默认随箱；改孔后不宣称原IP68</x:v>
      </x:c>
    </x:row>
    <x:row r="47" ht="36" hidden="0" customHeight="1">
      <x:c r="A47" s="13" t="str">
        <x:v>E08</x:v>
      </x:c>
      <x:c r="B47" s="13" t="str">
        <x:v>排插独立固定分支插座</x:v>
      </x:c>
      <x:c r="C47" s="13" t="str">
        <x:v>A01</x:v>
      </x:c>
      <x:c r="D47" s="13" t="str">
        <x:v>电气采购</x:v>
      </x:c>
      <x:c r="E47" s="13" t="str">
        <x:v>定型采购</x:v>
      </x:c>
      <x:c r="F47" s="18"/>
      <x:c r="G47" s="18" t="n">
        <x:v>4</x:v>
      </x:c>
      <x:c r="H47" s="28" t="str">
        <x:v>只</x:v>
      </x:c>
      <x:c r="I47" s="18" t="n">
        <x:f>IF(ISBLANK(G47),"",G47*$B$4)</x:f>
        <x:v>4</x:v>
      </x:c>
      <x:c r="J47" s="13" t="str">
        <x:v>X1~X4；10A接地型，GN-N1110候选</x:v>
      </x:c>
      <x:c r="K47" s="13" t="str">
        <x:v>成品采购；按安装接口和同版证据选配</x:v>
      </x:c>
      <x:c r="L47" s="13" t="str">
        <x:v>各接独立W1~W4，绝缘支架固定</x:v>
      </x:c>
      <x:c r="M47" s="13" t="str">
        <x:v>E01</x:v>
      </x:c>
      <x:c r="N47" s="20" t="n">
        <x:v>43</x:v>
      </x:c>
      <x:c r="O47" s="13" t="str">
        <x:v>数量与接口已定；产品适用认证/到货模板/实物验收待核</x:v>
      </x:c>
      <x:c r="P47" s="13" t="str">
        <x:v>采购数量</x:v>
      </x:c>
      <x:c r="Q47" s="13" t="str">
        <x:v>R03装配导航；R02电气采购证据与R03孔路线数据</x:v>
      </x:c>
      <x:c r="R47" s="13" t="str">
        <x:v>不得用四位排插串接替代；外壳不任意钻孔</x:v>
      </x:c>
    </x:row>
    <x:row r="48" ht="36" hidden="0" customHeight="1">
      <x:c r="A48" s="14" t="str">
        <x:v>E09</x:v>
      </x:c>
      <x:c r="B48" s="14" t="str">
        <x:v>C14电源入口</x:v>
      </x:c>
      <x:c r="C48" s="14" t="str">
        <x:v>A01</x:v>
      </x:c>
      <x:c r="D48" s="14" t="str">
        <x:v>电气采购</x:v>
      </x:c>
      <x:c r="E48" s="14" t="str">
        <x:v>定型采购</x:v>
      </x:c>
      <x:c r="F48" s="17"/>
      <x:c r="G48" s="17" t="n">
        <x:v>1</x:v>
      </x:c>
      <x:c r="H48" s="27" t="str">
        <x:v>只</x:v>
      </x:c>
      <x:c r="I48" s="17" t="n">
        <x:f>IF(ISBLANK(G48),"",G48*$B$4)</x:f>
        <x:v>1</x:v>
      </x:c>
      <x:c r="J48" s="14" t="str">
        <x:v>SCHURTER6100.3300；IEC10A/250V</x:v>
      </x:c>
      <x:c r="K48" s="14" t="str">
        <x:v>成品采购；按安装接口和同版证据选配</x:v>
      </x:c>
      <x:c r="L48" s="14" t="str">
        <x:v>X0(280,430,782)朝下，详S04/E03</x:v>
      </x:c>
      <x:c r="M48" s="14" t="str">
        <x:v>E04</x:v>
      </x:c>
      <x:c r="N48" s="19" t="n">
        <x:v>46</x:v>
      </x:c>
      <x:c r="O48" s="14" t="str">
        <x:v>数量与接口已定；产品适用认证/到货模板/实物验收待核</x:v>
      </x:c>
      <x:c r="P48" s="14" t="str">
        <x:v>采购数量</x:v>
      </x:c>
      <x:c r="Q48" s="14" t="str">
        <x:v>R03装配导航；R02电气采购证据与R03孔路线数据</x:v>
      </x:c>
      <x:c r="R48" s="14" t="str">
        <x:v>后罩E18、快接E19、紧固E20分别计；中国适用认证待核</x:v>
      </x:c>
    </x:row>
    <x:row r="49" ht="36" hidden="0" customHeight="1">
      <x:c r="A49" s="13" t="str">
        <x:v>E10</x:v>
      </x:c>
      <x:c r="B49" s="13" t="str">
        <x:v>国标10A/C13成品电源线</x:v>
      </x:c>
      <x:c r="C49" s="13" t="str">
        <x:v>A01</x:v>
      </x:c>
      <x:c r="D49" s="13" t="str">
        <x:v>电气采购</x:v>
      </x:c>
      <x:c r="E49" s="13" t="str">
        <x:v>定型采购</x:v>
      </x:c>
      <x:c r="F49" s="18"/>
      <x:c r="G49" s="18" t="n">
        <x:v>1</x:v>
      </x:c>
      <x:c r="H49" s="28" t="str">
        <x:v>条</x:v>
      </x:c>
      <x:c r="I49" s="18" t="n">
        <x:f>IF(ISBLANK(G49),"",G49*$B$4)</x:f>
        <x:v>1</x:v>
      </x:c>
      <x:c r="J49" s="13" t="str">
        <x:v>3×1.5mm²；PSB-10W/C13-10W候选</x:v>
      </x:c>
      <x:c r="K49" s="13" t="str">
        <x:v>成品采购；按安装接口和同版证据选配</x:v>
      </x:c>
      <x:c r="L49" s="13" t="str">
        <x:v>原装完整线，腿外侧可拆夹持</x:v>
      </x:c>
      <x:c r="M49" s="13" t="str">
        <x:v>E04</x:v>
      </x:c>
      <x:c r="N49" s="20" t="n">
        <x:v>46</x:v>
      </x:c>
      <x:c r="O49" s="13" t="str">
        <x:v>数量与接口已定；产品适用认证/到货模板/实物验收待核</x:v>
      </x:c>
      <x:c r="P49" s="13" t="str">
        <x:v>采购数量</x:v>
      </x:c>
      <x:c r="Q49" s="13" t="str">
        <x:v>R03装配导航；R02电气采购证据与R03孔路线数据</x:v>
      </x:c>
      <x:c r="R49" s="13" t="str">
        <x:v>选定线径版本CCC与长度待核；不得剪改模压接头</x:v>
      </x:c>
    </x:row>
    <x:row r="50" ht="36" hidden="0" customHeight="1">
      <x:c r="A50" s="14" t="str">
        <x:v>E11</x:v>
      </x:c>
      <x:c r="B50" s="14" t="str">
        <x:v>L灰色直通端子</x:v>
      </x:c>
      <x:c r="C50" s="14" t="str">
        <x:v>A01</x:v>
      </x:c>
      <x:c r="D50" s="14" t="str">
        <x:v>电气采购</x:v>
      </x:c>
      <x:c r="E50" s="14" t="str">
        <x:v>定型采购</x:v>
      </x:c>
      <x:c r="F50" s="17"/>
      <x:c r="G50" s="17" t="n">
        <x:v>6</x:v>
      </x:c>
      <x:c r="H50" s="27" t="str">
        <x:v>只</x:v>
      </x:c>
      <x:c r="I50" s="17" t="n">
        <x:f>IF(ISBLANK(G50),"",G50*$B$4)</x:f>
        <x:v>6</x:v>
      </x:c>
      <x:c r="J50" s="14" t="str">
        <x:v>WAGO2002-1201；XL0~XL5</x:v>
      </x:c>
      <x:c r="K50" s="14" t="str">
        <x:v>成品采购；按安装接口和同版证据选配</x:v>
      </x:c>
      <x:c r="L50" s="14" t="str">
        <x:v>DIN35×7.5导轨装配</x:v>
      </x:c>
      <x:c r="M50" s="14" t="str">
        <x:v>E03</x:v>
      </x:c>
      <x:c r="N50" s="19" t="n">
        <x:v>45</x:v>
      </x:c>
      <x:c r="O50" s="14" t="str">
        <x:v>数量与接口已定；产品适用认证/到货模板/实物验收待核</x:v>
      </x:c>
      <x:c r="P50" s="14" t="str">
        <x:v>采购数量</x:v>
      </x:c>
      <x:c r="Q50" s="14" t="str">
        <x:v>R03装配导航；R02电气采购证据与R03孔路线数据</x:v>
      </x:c>
      <x:c r="R50" s="14" t="str">
        <x:v>一夹一线；按厂家剥线10~12及压接工艺</x:v>
      </x:c>
    </x:row>
    <x:row r="51" ht="36" hidden="0" customHeight="1">
      <x:c r="A51" s="13" t="str">
        <x:v>E12</x:v>
      </x:c>
      <x:c r="B51" s="13" t="str">
        <x:v>N蓝色直通端子</x:v>
      </x:c>
      <x:c r="C51" s="13" t="str">
        <x:v>A01</x:v>
      </x:c>
      <x:c r="D51" s="13" t="str">
        <x:v>电气采购</x:v>
      </x:c>
      <x:c r="E51" s="13" t="str">
        <x:v>定型采购</x:v>
      </x:c>
      <x:c r="F51" s="18"/>
      <x:c r="G51" s="18" t="n">
        <x:v>6</x:v>
      </x:c>
      <x:c r="H51" s="28" t="str">
        <x:v>只</x:v>
      </x:c>
      <x:c r="I51" s="18" t="n">
        <x:f>IF(ISBLANK(G51),"",G51*$B$4)</x:f>
        <x:v>6</x:v>
      </x:c>
      <x:c r="J51" s="13" t="str">
        <x:v>WAGO2002-1204；XN0~XN5</x:v>
      </x:c>
      <x:c r="K51" s="13" t="str">
        <x:v>成品采购；按安装接口和同版证据选配</x:v>
      </x:c>
      <x:c r="L51" s="13" t="str">
        <x:v>与L分隔、独立六连桥</x:v>
      </x:c>
      <x:c r="M51" s="13" t="str">
        <x:v>E03</x:v>
      </x:c>
      <x:c r="N51" s="20" t="n">
        <x:v>45</x:v>
      </x:c>
      <x:c r="O51" s="13" t="str">
        <x:v>数量与接口已定；产品适用认证/到货模板/实物验收待核</x:v>
      </x:c>
      <x:c r="P51" s="13" t="str">
        <x:v>采购数量</x:v>
      </x:c>
      <x:c r="Q51" s="13" t="str">
        <x:v>R03装配导航；R02电气采购证据与R03孔路线数据</x:v>
      </x:c>
      <x:c r="R51" s="13" t="str">
        <x:v>严禁N-PE跨接；不得把单电位端子当多极</x:v>
      </x:c>
    </x:row>
    <x:row r="52" ht="36" hidden="0" customHeight="1">
      <x:c r="A52" s="14" t="str">
        <x:v>E13</x:v>
      </x:c>
      <x:c r="B52" s="14" t="str">
        <x:v>黄绿PE端子</x:v>
      </x:c>
      <x:c r="C52" s="14" t="str">
        <x:v>A01</x:v>
      </x:c>
      <x:c r="D52" s="14" t="str">
        <x:v>电气采购</x:v>
      </x:c>
      <x:c r="E52" s="14" t="str">
        <x:v>定型采购</x:v>
      </x:c>
      <x:c r="F52" s="17"/>
      <x:c r="G52" s="17" t="n">
        <x:v>7</x:v>
      </x:c>
      <x:c r="H52" s="27" t="str">
        <x:v>只</x:v>
      </x:c>
      <x:c r="I52" s="17" t="n">
        <x:f>IF(ISBLANK(G52),"",G52*$B$4)</x:f>
        <x:v>7</x:v>
      </x:c>
      <x:c r="J52" s="14" t="str">
        <x:v>WAGO2002-1207；XPE0~XPE6</x:v>
      </x:c>
      <x:c r="K52" s="14" t="str">
        <x:v>成品采购；按安装接口和同版证据选配</x:v>
      </x:c>
      <x:c r="L52" s="14" t="str">
        <x:v>专用接地脚及连续接地导轨</x:v>
      </x:c>
      <x:c r="M52" s="14" t="str">
        <x:v>E03</x:v>
      </x:c>
      <x:c r="N52" s="19" t="n">
        <x:v>45</x:v>
      </x:c>
      <x:c r="O52" s="14" t="str">
        <x:v>数量与接口已定；产品适用认证/到货模板/实物验收待核</x:v>
      </x:c>
      <x:c r="P52" s="14" t="str">
        <x:v>采购数量</x:v>
      </x:c>
      <x:c r="Q52" s="14" t="str">
        <x:v>R03装配导航；R02电气采购证据与R03孔路线数据</x:v>
      </x:c>
      <x:c r="R52" s="14" t="str">
        <x:v>XPE6接PE0，桌身/两门/中央组件独立跨接</x:v>
      </x:c>
    </x:row>
    <x:row r="53" ht="36" hidden="0" customHeight="1">
      <x:c r="A53" s="13" t="str">
        <x:v>E14</x:v>
      </x:c>
      <x:c r="B53" s="13" t="str">
        <x:v>六位连续跨接桥</x:v>
      </x:c>
      <x:c r="C53" s="13" t="str">
        <x:v>A01</x:v>
      </x:c>
      <x:c r="D53" s="13" t="str">
        <x:v>电气采购</x:v>
      </x:c>
      <x:c r="E53" s="13" t="str">
        <x:v>定型采购</x:v>
      </x:c>
      <x:c r="F53" s="18"/>
      <x:c r="G53" s="18" t="n">
        <x:v>2</x:v>
      </x:c>
      <x:c r="H53" s="28" t="str">
        <x:v>根</x:v>
      </x:c>
      <x:c r="I53" s="18" t="n">
        <x:f>IF(ISBLANK(G53),"",G53*$B$4)</x:f>
        <x:v>2</x:v>
      </x:c>
      <x:c r="J53" s="13" t="str">
        <x:v>WAGO2002-406；L/N各1根</x:v>
      </x:c>
      <x:c r="K53" s="13" t="str">
        <x:v>成品采购；按安装接口和同版证据选配</x:v>
      </x:c>
      <x:c r="L53" s="13" t="str">
        <x:v>分别桥接同色六端子</x:v>
      </x:c>
      <x:c r="M53" s="13" t="str">
        <x:v>E03</x:v>
      </x:c>
      <x:c r="N53" s="20" t="n">
        <x:v>45</x:v>
      </x:c>
      <x:c r="O53" s="13" t="str">
        <x:v>数量与接口已定；产品适用认证/到货模板/实物验收待核</x:v>
      </x:c>
      <x:c r="P53" s="13" t="str">
        <x:v>采购数量</x:v>
      </x:c>
      <x:c r="Q53" s="13" t="str">
        <x:v>R03装配导航；R02电气采购证据与R03孔路线数据</x:v>
      </x:c>
      <x:c r="R53" s="13" t="str">
        <x:v>不得错购/020-000三对独立桥</x:v>
      </x:c>
    </x:row>
    <x:row r="54" ht="36" hidden="0" customHeight="1">
      <x:c r="A54" s="14" t="str">
        <x:v>E15</x:v>
      </x:c>
      <x:c r="B54" s="14" t="str">
        <x:v>导轨端挡与绝缘端板</x:v>
      </x:c>
      <x:c r="C54" s="14" t="str">
        <x:v>A01</x:v>
      </x:c>
      <x:c r="D54" s="14" t="str">
        <x:v>电气辅材</x:v>
      </x:c>
      <x:c r="E54" s="14" t="str">
        <x:v>定型采购</x:v>
      </x:c>
      <x:c r="F54" s="17"/>
      <x:c r="G54" s="17" t="n">
        <x:v>1</x:v>
      </x:c>
      <x:c r="H54" s="27" t="str">
        <x:v>套</x:v>
      </x:c>
      <x:c r="I54" s="17" t="n">
        <x:f>IF(ISBLANK(G54),"",G54*$B$4)</x:f>
        <x:v>1</x:v>
      </x:c>
      <x:c r="J54" s="14" t="str">
        <x:v>210-112轨；249-116×2/2002-1291×3</x:v>
      </x:c>
      <x:c r="K54" s="14" t="str">
        <x:v>成品采购；按安装接口和同版证据选配</x:v>
      </x:c>
      <x:c r="L54" s="14" t="str">
        <x:v>轨35×7.5/T1；购2m截150固定于内板</x:v>
      </x:c>
      <x:c r="M54" s="14" t="str">
        <x:v>E03</x:v>
      </x:c>
      <x:c r="N54" s="19" t="n">
        <x:v>45</x:v>
      </x:c>
      <x:c r="O54" s="14" t="str">
        <x:v>数量与接口已定；产品适用认证/到货模板/实物验收待核</x:v>
      </x:c>
      <x:c r="P54" s="14" t="str">
        <x:v>采购数量</x:v>
      </x:c>
      <x:c r="Q54" s="14" t="str">
        <x:v>R03装配导航；R02电气采购证据与R03孔路线数据</x:v>
      </x:c>
      <x:c r="R54" s="14" t="str">
        <x:v>L/N/PE分区清晰；导轨保护接地和端子保持力待验</x:v>
      </x:c>
    </x:row>
    <x:row r="55" ht="36" hidden="0" customHeight="1">
      <x:c r="A55" s="13" t="str">
        <x:v>E16</x:v>
      </x:c>
      <x:c r="B55" s="13" t="str">
        <x:v>金属件保护连接配套</x:v>
      </x:c>
      <x:c r="C55" s="13" t="str">
        <x:v>A01</x:v>
      </x:c>
      <x:c r="D55" s="13" t="str">
        <x:v>电气辅材</x:v>
      </x:c>
      <x:c r="E55" s="13" t="str">
        <x:v>定型采购</x:v>
      </x:c>
      <x:c r="F55" s="18"/>
      <x:c r="G55" s="18" t="n">
        <x:v>1</x:v>
      </x:c>
      <x:c r="H55" s="28" t="str">
        <x:v>套</x:v>
      </x:c>
      <x:c r="I55" s="18" t="n">
        <x:f>IF(ISBLANK(G55),"",G55*$B$4)</x:f>
        <x:v>1</x:v>
      </x:c>
      <x:c r="J55" s="13" t="str">
        <x:v>7条2.5黄绿线；FV2-5×11/FV2-4×2</x:v>
      </x:c>
      <x:c r="K55" s="13" t="str">
        <x:v>成品采购；按安装接口和同版证据选配</x:v>
      </x:c>
      <x:c r="L55" s="13" t="str">
        <x:v>主框架/另3梁/两门逐条跨接</x:v>
      </x:c>
      <x:c r="M55" s="13" t="str">
        <x:v>E03</x:v>
      </x:c>
      <x:c r="N55" s="20" t="n">
        <x:v>45</x:v>
      </x:c>
      <x:c r="O55" s="13" t="str">
        <x:v>数量与接口已定；产品适用认证/到货模板/实物验收待核</x:v>
      </x:c>
      <x:c r="P55" s="13" t="str">
        <x:v>采购数量</x:v>
      </x:c>
      <x:c r="Q55" s="13" t="str">
        <x:v>R03装配导航；R02电气采购证据与R03孔路线数据</x:v>
      </x:c>
      <x:c r="R55" s="13" t="str">
        <x:v>含M5×20焊柱/齿平垫/锁母各10及门M4套2；套管1；中央E21~24不重计</x:v>
      </x:c>
    </x:row>
    <x:row r="56" ht="36" hidden="0" customHeight="1">
      <x:c r="A56" s="14" t="str">
        <x:v>E17</x:v>
      </x:c>
      <x:c r="B56" s="14" t="str">
        <x:v>进线与线束固定护口配套</x:v>
      </x:c>
      <x:c r="C56" s="14" t="str">
        <x:v>A01</x:v>
      </x:c>
      <x:c r="D56" s="14" t="str">
        <x:v>电气辅材</x:v>
      </x:c>
      <x:c r="E56" s="14" t="str">
        <x:v>定型采购</x:v>
      </x:c>
      <x:c r="F56" s="17"/>
      <x:c r="G56" s="17" t="n">
        <x:v>1</x:v>
      </x:c>
      <x:c r="H56" s="27" t="str">
        <x:v>套</x:v>
      </x:c>
      <x:c r="I56" s="17" t="n">
        <x:f>IF(ISBLANK(G56),"",G56*$B$4)</x:f>
        <x:v>1</x:v>
      </x:c>
      <x:c r="J56" s="14" t="str">
        <x:v>适配线径的成品线夹/防拉脱件</x:v>
      </x:c>
      <x:c r="K56" s="14" t="str">
        <x:v>成品采购；按安装接口和同版证据选配</x:v>
      </x:c>
      <x:c r="L56" s="14" t="str">
        <x:v>腿外侧夹持、2只φ20/T2护口及盒出线</x:v>
      </x:c>
      <x:c r="M56" s="14" t="str">
        <x:v>E04</x:v>
      </x:c>
      <x:c r="N56" s="19" t="n">
        <x:v>46</x:v>
      </x:c>
      <x:c r="O56" s="14" t="str">
        <x:v>数量与接口已定；产品适用认证/到货模板/实物验收待核</x:v>
      </x:c>
      <x:c r="P56" s="14" t="str">
        <x:v>采购数量</x:v>
      </x:c>
      <x:c r="Q56" s="14" t="str">
        <x:v>R03装配导航；R02电气采购证据与R03孔路线数据</x:v>
      </x:c>
      <x:c r="R56" s="14" t="str">
        <x:v>X0独立夹护套；后罩/快接不抗拉；不破坏原装护套</x:v>
      </x:c>
    </x:row>
    <x:row r="57" ht="36" hidden="0" customHeight="1">
      <x:c r="A57" s="13" t="str">
        <x:v>E18</x:v>
      </x:c>
      <x:c r="B57" s="13" t="str">
        <x:v>C14原厂绝缘后罩</x:v>
      </x:c>
      <x:c r="C57" s="13" t="str">
        <x:v>A01</x:v>
      </x:c>
      <x:c r="D57" s="13" t="str">
        <x:v>电气采购</x:v>
      </x:c>
      <x:c r="E57" s="13" t="str">
        <x:v>定型采购</x:v>
      </x:c>
      <x:c r="F57" s="18"/>
      <x:c r="G57" s="18" t="n">
        <x:v>1</x:v>
      </x:c>
      <x:c r="H57" s="28" t="str">
        <x:v>只</x:v>
      </x:c>
      <x:c r="I57" s="18" t="n">
        <x:f>IF(ISBLANK(G57),"",G57*$B$4)</x:f>
        <x:v>1</x:v>
      </x:c>
      <x:c r="J57" s="13" t="str">
        <x:v>SCHURTER RC320-03；3-125-663</x:v>
      </x:c>
      <x:c r="K57" s="13" t="str">
        <x:v>成品采购；按安装接口和同版证据选配</x:v>
      </x:c>
      <x:c r="L57" s="13" t="str">
        <x:v>罩住X0后端；31.2×23.5×51</x:v>
      </x:c>
      <x:c r="M57" s="13" t="str">
        <x:v>E04</x:v>
      </x:c>
      <x:c r="N57" s="20" t="n">
        <x:v>46</x:v>
      </x:c>
      <x:c r="O57" s="13" t="str">
        <x:v>数量与接口已定；产品适用认证/到货模板/实物验收待核</x:v>
      </x:c>
      <x:c r="P57" s="13" t="str">
        <x:v>采购数量</x:v>
      </x:c>
      <x:c r="Q57" s="13" t="str">
        <x:v>R03装配导航；R02电气采购证据与R03孔路线数据</x:v>
      </x:c>
      <x:c r="R57" s="13" t="str">
        <x:v>原厂适配6100-3；出线口内径8.5；装配后包络至Z834</x:v>
      </x:c>
    </x:row>
    <x:row r="58" ht="36" hidden="0" customHeight="1">
      <x:c r="A58" s="14" t="str">
        <x:v>E19</x:v>
      </x:c>
      <x:c r="B58" s="14" t="str">
        <x:v>全绝缘快接母端</x:v>
      </x:c>
      <x:c r="C58" s="14" t="str">
        <x:v>A01</x:v>
      </x:c>
      <x:c r="D58" s="14" t="str">
        <x:v>电气采购</x:v>
      </x:c>
      <x:c r="E58" s="14" t="str">
        <x:v>定型采购</x:v>
      </x:c>
      <x:c r="F58" s="17"/>
      <x:c r="G58" s="17" t="n">
        <x:v>3</x:v>
      </x:c>
      <x:c r="H58" s="27" t="str">
        <x:v>只</x:v>
      </x:c>
      <x:c r="I58" s="17" t="n">
        <x:f>IF(ISBLANK(G58),"",G58*$B$4)</x:f>
        <x:v>3</x:v>
      </x:c>
      <x:c r="J58" s="14" t="str">
        <x:v>TE Connectivity735278；6.35×0.81</x:v>
      </x:c>
      <x:c r="K58" s="14" t="str">
        <x:v>成品采购；按安装接口和同版证据选配</x:v>
      </x:c>
      <x:c r="L58" s="14" t="str">
        <x:v>X0的L/N/PE各1只；配套模具冷压</x:v>
      </x:c>
      <x:c r="M58" s="14" t="str">
        <x:v>E04</x:v>
      </x:c>
      <x:c r="N58" s="19" t="n">
        <x:v>46</x:v>
      </x:c>
      <x:c r="O58" s="14" t="str">
        <x:v>数量与接口已定；产品适用认证/到货模板/实物验收待核</x:v>
      </x:c>
      <x:c r="P58" s="14" t="str">
        <x:v>采购数量</x:v>
      </x:c>
      <x:c r="Q58" s="14" t="str">
        <x:v>R03装配导航；R02电气采购证据与R03孔路线数据</x:v>
      </x:c>
      <x:c r="R58" s="14" t="str">
        <x:v>适1~1.5mm²、导体绝缘径≤3.3；按厂家拉脱/压接验收</x:v>
      </x:c>
    </x:row>
    <x:row r="59" ht="36" hidden="0" customHeight="1">
      <x:c r="A59" s="13" t="str">
        <x:v>E20</x:v>
      </x:c>
      <x:c r="B59" s="13" t="str">
        <x:v>C14入口固定紧固件</x:v>
      </x:c>
      <x:c r="C59" s="13" t="str">
        <x:v>A01</x:v>
      </x:c>
      <x:c r="D59" s="13" t="str">
        <x:v>电气采购</x:v>
      </x:c>
      <x:c r="E59" s="13" t="str">
        <x:v>定型采购</x:v>
      </x:c>
      <x:c r="F59" s="18"/>
      <x:c r="G59" s="18" t="n">
        <x:v>2</x:v>
      </x:c>
      <x:c r="H59" s="28" t="str">
        <x:v>套</x:v>
      </x:c>
      <x:c r="I59" s="18" t="n">
        <x:f>IF(ISBLANK(G59),"",G59*$B$4)</x:f>
        <x:v>2</x:v>
      </x:c>
      <x:c r="J59" s="13" t="str">
        <x:v>M3×8沉头螺钉+平垫+防松螺母</x:v>
      </x:c>
      <x:c r="K59" s="13" t="str">
        <x:v>成品采购；按安装接口和同版证据选配</x:v>
      </x:c>
      <x:c r="L59" s="13" t="str">
        <x:v>S04两φ3.5孔；孔距40</x:v>
      </x:c>
      <x:c r="M59" s="13" t="str">
        <x:v>E04</x:v>
      </x:c>
      <x:c r="N59" s="20" t="n">
        <x:v>46</x:v>
      </x:c>
      <x:c r="O59" s="13" t="str">
        <x:v>数量与接口已定；产品适用认证/到货模板/实物验收待核</x:v>
      </x:c>
      <x:c r="P59" s="13" t="str">
        <x:v>采购数量</x:v>
      </x:c>
      <x:c r="Q59" s="13" t="str">
        <x:v>R03装配导航；R02电气采购证据与R03孔路线数据</x:v>
      </x:c>
      <x:c r="R59" s="13" t="str">
        <x:v>不作PE连接；实际板/法兰叠厚与突出量首件核定</x:v>
      </x:c>
    </x:row>
    <x:row r="60" ht="36" hidden="0" customHeight="1">
      <x:c r="A60" s="14" t="str">
        <x:v>E21</x:v>
      </x:c>
      <x:c r="B60" s="14" t="str">
        <x:v>中央组件柔性PE线</x:v>
      </x:c>
      <x:c r="C60" s="14" t="str">
        <x:v>A01</x:v>
      </x:c>
      <x:c r="D60" s="14" t="str">
        <x:v>电气采购</x:v>
      </x:c>
      <x:c r="E60" s="14" t="str">
        <x:v>定型采购</x:v>
      </x:c>
      <x:c r="F60" s="17"/>
      <x:c r="G60" s="17" t="n">
        <x:v>2</x:v>
      </x:c>
      <x:c r="H60" s="27" t="str">
        <x:v>根</x:v>
      </x:c>
      <x:c r="I60" s="17" t="n">
        <x:f>IF(ISBLANK(G60),"",G60*$B$4)</x:f>
        <x:v>2</x:v>
      </x:c>
      <x:c r="J60" s="14" t="str">
        <x:v>黄绿铜软线2.5mm²；长度待实测</x:v>
      </x:c>
      <x:c r="K60" s="14" t="str">
        <x:v>成品采购；按安装接口和同版证据选配</x:v>
      </x:c>
      <x:c r="L60" s="14" t="str">
        <x:v>S10A盖/S10B载板各1根至固定PE0</x:v>
      </x:c>
      <x:c r="M60" s="14" t="str">
        <x:v>E03</x:v>
      </x:c>
      <x:c r="N60" s="19" t="n">
        <x:v>45</x:v>
      </x:c>
      <x:c r="O60" s="14" t="str">
        <x:v>数量与接口已定；产品适用认证/到货模板/实物验收待核</x:v>
      </x:c>
      <x:c r="P60" s="14" t="str">
        <x:v>采购数量</x:v>
      </x:c>
      <x:c r="Q60" s="14" t="str">
        <x:v>R03装配导航；R02电气采购证据与R03孔路线数据</x:v>
      </x:c>
      <x:c r="R60" s="14" t="str">
        <x:v>各留≥250维护余量；载板下放175.45，盖索孔心距183，按S10F全程核定；不承担吊重</x:v>
      </x:c>
    </x:row>
    <x:row r="61" ht="36" hidden="0" customHeight="1">
      <x:c r="A61" s="13" t="str">
        <x:v>E22</x:v>
      </x:c>
      <x:c r="B61" s="13" t="str">
        <x:v>中央PE移动端M4环端子</x:v>
      </x:c>
      <x:c r="C61" s="13" t="str">
        <x:v>A01</x:v>
      </x:c>
      <x:c r="D61" s="13" t="str">
        <x:v>电气采购</x:v>
      </x:c>
      <x:c r="E61" s="13" t="str">
        <x:v>定型采购</x:v>
      </x:c>
      <x:c r="F61" s="18"/>
      <x:c r="G61" s="18" t="n">
        <x:v>2</x:v>
      </x:c>
      <x:c r="H61" s="28" t="str">
        <x:v>只</x:v>
      </x:c>
      <x:c r="I61" s="18" t="n">
        <x:f>IF(ISBLANK(G61),"",G61*$B$4)</x:f>
        <x:v>2</x:v>
      </x:c>
      <x:c r="J61" s="13" t="str">
        <x:v>JST FV2-4；适1.04~2.63mm²</x:v>
      </x:c>
      <x:c r="K61" s="13" t="str">
        <x:v>成品采购；按安装接口和同版证据选配</x:v>
      </x:c>
      <x:c r="L61" s="13" t="str">
        <x:v>E21移动端各压1只；配S10的φ4.5孔</x:v>
      </x:c>
      <x:c r="M61" s="13" t="str">
        <x:v>E03</x:v>
      </x:c>
      <x:c r="N61" s="20" t="n">
        <x:v>45</x:v>
      </x:c>
      <x:c r="O61" s="13" t="str">
        <x:v>数量与接口已定；产品适用认证/到货模板/实物验收待核</x:v>
      </x:c>
      <x:c r="P61" s="13" t="str">
        <x:v>采购数量</x:v>
      </x:c>
      <x:c r="Q61" s="13" t="str">
        <x:v>R03装配导航；R02电气采购证据与R03孔路线数据</x:v>
      </x:c>
      <x:c r="R61" s="13" t="str">
        <x:v>原厂工具压接；去漆接触面、防松并测连续性</x:v>
      </x:c>
    </x:row>
    <x:row r="62" ht="36" hidden="0" customHeight="1">
      <x:c r="A62" s="14" t="str">
        <x:v>E23</x:v>
      </x:c>
      <x:c r="B62" s="14" t="str">
        <x:v>中央PE固定端M5环端子</x:v>
      </x:c>
      <x:c r="C62" s="14" t="str">
        <x:v>A01</x:v>
      </x:c>
      <x:c r="D62" s="14" t="str">
        <x:v>电气采购</x:v>
      </x:c>
      <x:c r="E62" s="14" t="str">
        <x:v>定型采购</x:v>
      </x:c>
      <x:c r="F62" s="17"/>
      <x:c r="G62" s="17" t="n">
        <x:v>2</x:v>
      </x:c>
      <x:c r="H62" s="27" t="str">
        <x:v>只</x:v>
      </x:c>
      <x:c r="I62" s="17" t="n">
        <x:f>IF(ISBLANK(G62),"",G62*$B$4)</x:f>
        <x:v>2</x:v>
      </x:c>
      <x:c r="J62" s="14" t="str">
        <x:v>JST FV2-5；适1.04~2.63mm²</x:v>
      </x:c>
      <x:c r="K62" s="14" t="str">
        <x:v>成品采购；按安装接口和同版证据选配</x:v>
      </x:c>
      <x:c r="L62" s="14" t="str">
        <x:v>E21固定端各压1只；接PE0</x:v>
      </x:c>
      <x:c r="M62" s="14" t="str">
        <x:v>E03</x:v>
      </x:c>
      <x:c r="N62" s="19" t="n">
        <x:v>45</x:v>
      </x:c>
      <x:c r="O62" s="14" t="str">
        <x:v>数量与接口已定；产品适用认证/到货模板/实物验收待核</x:v>
      </x:c>
      <x:c r="P62" s="14" t="str">
        <x:v>采购数量</x:v>
      </x:c>
      <x:c r="Q62" s="14" t="str">
        <x:v>R03装配导航；R02电气采购证据与R03孔路线数据</x:v>
      </x:c>
      <x:c r="R62" s="14" t="str">
        <x:v>各端独立夹紧；不得任意堆叠到短螺柱</x:v>
      </x:c>
    </x:row>
    <x:row r="63" ht="36" hidden="0" customHeight="1">
      <x:c r="A63" s="13" t="str">
        <x:v>E24</x:v>
      </x:c>
      <x:c r="B63" s="13" t="str">
        <x:v>中央组件PE专用紧固件</x:v>
      </x:c>
      <x:c r="C63" s="13" t="str">
        <x:v>A01</x:v>
      </x:c>
      <x:c r="D63" s="13" t="str">
        <x:v>电气采购</x:v>
      </x:c>
      <x:c r="E63" s="13" t="str">
        <x:v>定型采购</x:v>
      </x:c>
      <x:c r="F63" s="18"/>
      <x:c r="G63" s="18" t="n">
        <x:v>2</x:v>
      </x:c>
      <x:c r="H63" s="28" t="str">
        <x:v>套</x:v>
      </x:c>
      <x:c r="I63" s="18" t="n">
        <x:f>IF(ISBLANK(G63),"",G63*$B$4)</x:f>
        <x:v>2</x:v>
      </x:c>
      <x:c r="J63" s="13" t="str">
        <x:v>M4×10螺钉+平/齿形垫+防松螺母</x:v>
      </x:c>
      <x:c r="K63" s="13" t="str">
        <x:v>成品采购；按安装接口和同版证据选配</x:v>
      </x:c>
      <x:c r="L63" s="13" t="str">
        <x:v>盖孔(1000,450)、载板孔(1000,460)</x:v>
      </x:c>
      <x:c r="M63" s="13" t="str">
        <x:v>E03</x:v>
      </x:c>
      <x:c r="N63" s="20" t="n">
        <x:v>45</x:v>
      </x:c>
      <x:c r="O63" s="13" t="str">
        <x:v>数量与接口已定；产品适用认证/到货模板/实物验收待核</x:v>
      </x:c>
      <x:c r="P63" s="13" t="str">
        <x:v>采购数量</x:v>
      </x:c>
      <x:c r="Q63" s="13" t="str">
        <x:v>R03装配导航；R02电气采购证据与R03孔路线数据</x:v>
      </x:c>
      <x:c r="R63" s="13" t="str">
        <x:v>各1套，螺纹朝上；不得兼用防坠或结构螺钉</x:v>
      </x:c>
    </x:row>
    <x:row r="64" ht="42" hidden="0" customHeight="1">
      <x:c r="A64" s="14" t="str">
        <x:v>H01</x:v>
      </x:c>
      <x:c r="B64" s="14" t="str">
        <x:v>薄型调节脚</x:v>
      </x:c>
      <x:c r="C64" s="14" t="str">
        <x:v>A07</x:v>
      </x:c>
      <x:c r="D64" s="14" t="str">
        <x:v>采购五金</x:v>
      </x:c>
      <x:c r="E64" s="14" t="str">
        <x:v>钢螺杆＋树脂底座</x:v>
      </x:c>
      <x:c r="F64" s="17"/>
      <x:c r="G64" s="17" t="n">
        <x:v>8</x:v>
      </x:c>
      <x:c r="H64" s="27" t="str">
        <x:v>只</x:v>
      </x:c>
      <x:c r="I64" s="17" t="n">
        <x:f>IF(ISBLANK(G64),"",G64*$B$4)</x:f>
        <x:v>8</x:v>
      </x:c>
      <x:c r="J64" s="14" t="str">
        <x:v>底φ20；M8×1.25；螺杆长15；底高6；总高21</x:v>
      </x:c>
      <x:c r="K64" s="14" t="str"/>
      <x:c r="L64" s="14" t="str">
        <x:v>外购成品；按型号采购并做首件配装</x:v>
      </x:c>
      <x:c r="M64" s="14" t="str">
        <x:v>H02</x:v>
      </x:c>
      <x:c r="N64" s="19" t="n">
        <x:v>50</x:v>
      </x:c>
      <x:c r="O64" s="14" t="str">
        <x:v>中国官方页有订购入口；库存未核</x:v>
      </x:c>
      <x:c r="P64" s="14" t="str">
        <x:v>采购数量</x:v>
      </x:c>
      <x:c r="Q64" s="14" t="str">
        <x:v>https://global.sugatsune.com/cn/zh-cn/tech/products/22772_t</x:v>
      </x:c>
      <x:c r="R64" s="14" t="str">
        <x:v>TG-20；S03C内沉1，脚底名义外露5；每腿2只；调节后复核整桌900高及螺纹搭接；S03C脚孔局部u80/110、v13.9665，孔距30；不用原定制外φ18脚。厂家单件承载数据不能直接当整桌承载验收值。</x:v>
      </x:c>
    </x:row>
    <x:row r="65" ht="42" hidden="0" customHeight="1">
      <x:c r="A65" s="13" t="str">
        <x:v>H02</x:v>
      </x:c>
      <x:c r="B65" s="13" t="str">
        <x:v>M8六角焊接螺母</x:v>
      </x:c>
      <x:c r="C65" s="13" t="str">
        <x:v>S03C</x:v>
      </x:c>
      <x:c r="D65" s="13" t="str">
        <x:v>采购五金</x:v>
      </x:c>
      <x:c r="E65" s="13" t="str">
        <x:v>可焊钢本色</x:v>
      </x:c>
      <x:c r="F65" s="18"/>
      <x:c r="G65" s="18" t="n">
        <x:v>8</x:v>
      </x:c>
      <x:c r="H65" s="28" t="str">
        <x:v>只</x:v>
      </x:c>
      <x:c r="I65" s="18" t="n">
        <x:f>IF(ISBLANK(G65),"",G65*$B$4)</x:f>
        <x:v>8</x:v>
      </x:c>
      <x:c r="J65" s="13" t="str">
        <x:v>M8×1.25；对边14；螺母厚6.5；定位凸台径10.45最大</x:v>
      </x:c>
      <x:c r="K65" s="13" t="str"/>
      <x:c r="L65" s="13" t="str">
        <x:v>外购成品；按型号采购并做首件配装</x:v>
      </x:c>
      <x:c r="M65" s="13" t="str">
        <x:v>H02</x:v>
      </x:c>
      <x:c r="N65" s="20" t="n">
        <x:v>50</x:v>
      </x:c>
      <x:c r="O65" s="13" t="str">
        <x:v>准确规格商品/可选规格页可网购；中国配送及实时库存未核</x:v>
      </x:c>
      <x:c r="P65" s="13" t="str">
        <x:v>采购数量</x:v>
      </x:c>
      <x:c r="Q65" s="13" t="str">
        <x:v>https://www.nufast.co.uk/uploads/DIN_929.pdf</x:v>
      </x:c>
      <x:c r="R65" s="13" t="str">
        <x:v>DIN 929 M8 钢本色；S03C定位孔φ10.5 H11；不能沿用原φ8.5；焊后通规检查；不采用不锈钢/A2版本与碳钢底板直接混配。到货核对定位凸台和安装孔。</x:v>
      </x:c>
    </x:row>
    <x:row r="66" ht="42" hidden="0" customHeight="1">
      <x:c r="A66" s="14" t="str">
        <x:v>H03</x:v>
      </x:c>
      <x:c r="B66" s="14" t="str">
        <x:v>检修门可脱卸合页</x:v>
      </x:c>
      <x:c r="C66" s="14" t="str">
        <x:v>S07</x:v>
      </x:c>
      <x:c r="D66" s="14" t="str">
        <x:v>采购五金</x:v>
      </x:c>
      <x:c r="E66" s="14" t="str">
        <x:v>SUS304</x:v>
      </x:c>
      <x:c r="F66" s="17"/>
      <x:c r="G66" s="17" t="n">
        <x:v>4</x:v>
      </x:c>
      <x:c r="H66" s="27" t="str">
        <x:v>只</x:v>
      </x:c>
      <x:c r="I66" s="17" t="n">
        <x:f>IF(ISBLANK(G66),"",G66*$B$4)</x:f>
        <x:v>4</x:v>
      </x:c>
      <x:c r="J66" s="14" t="str">
        <x:v>展开50×75×T1.5；4×φ3.8；孔距38×63.5；轴径6；厚向包络9.5</x:v>
      </x:c>
      <x:c r="K66" s="14" t="str"/>
      <x:c r="L66" s="14" t="str">
        <x:v>外购成品；按型号采购并做首件配装</x:v>
      </x:c>
      <x:c r="M66" s="14" t="str">
        <x:v>H03</x:v>
      </x:c>
      <x:c r="N66" s="19" t="n">
        <x:v>51</x:v>
      </x:c>
      <x:c r="O66" s="14" t="str">
        <x:v>中国官方页有订购入口；库存未核</x:v>
      </x:c>
      <x:c r="P66" s="14" t="str">
        <x:v>采购数量</x:v>
      </x:c>
      <x:c r="Q66" s="14" t="str">
        <x:v>https://global.sugatsune.com/cn/zh-cn/tech/products/21654_t?category=100218</x:v>
      </x:c>
      <x:c r="R66" s="14" t="str">
        <x:v>HG-OTA75 / 170-090-942；每门2只；孔中心相对铰链展开中心为(±19, ±31.75)；轴线方向沿75边；M3穿透连接；两只标称6kg仅为厂家条件值。轴可缩入拆门；闭合不靠铰链阻尼，另设限位。</x:v>
      </x:c>
    </x:row>
    <x:row r="67" ht="66" hidden="0" customHeight="1">
      <x:c r="A67" s="13" t="str">
        <x:v>H04</x:v>
      </x:c>
      <x:c r="B67" s="13" t="str">
        <x:v>直槽工具转舌锁（完整套件）</x:v>
      </x:c>
      <x:c r="C67" s="13" t="str">
        <x:v>S07</x:v>
      </x:c>
      <x:c r="D67" s="13" t="str">
        <x:v>采购五金</x:v>
      </x:c>
      <x:c r="E67" s="13" t="str">
        <x:v>锌合金锁体＋镀锌钢锁舌/螺母</x:v>
      </x:c>
      <x:c r="F67" s="18"/>
      <x:c r="G67" s="18" t="n">
        <x:v>2</x:v>
      </x:c>
      <x:c r="H67" s="28" t="str">
        <x:v>套</x:v>
      </x:c>
      <x:c r="I67" s="18" t="n">
        <x:f>IF(ISBLANK(G67),"",G67*$B$4)</x:f>
        <x:v>2</x:v>
      </x:c>
      <x:c r="J67" s="13" t="str">
        <x:v>面头φ28×4；开孔φ22.5与20.1方形交集；GH18；H19.5；锁舌35×20×T3（35为轴心至端）</x:v>
      </x:c>
      <x:c r="K67" s="13" t="str"/>
      <x:c r="L67" s="13" t="str">
        <x:v>外购成品；按型号采购并做首件配装</x:v>
      </x:c>
      <x:c r="M67" s="13" t="str">
        <x:v>H03</x:v>
      </x:c>
      <x:c r="N67" s="20" t="n">
        <x:v>51</x:v>
      </x:c>
      <x:c r="O67" s="13" t="str">
        <x:v>国内厂家官方商城入口；须按完整套件型号订购并核库存</x:v>
      </x:c>
      <x:c r="P67" s="13" t="str">
        <x:v>采购数量</x:v>
      </x:c>
      <x:c r="Q67" s="13" t="str">
        <x:v>https://www.hengzhu.com/cn/product/587/Locks/MS705</x:v>
      </x:c>
      <x:c r="R67" s="13" t="str">
        <x:v>MS705-1-1；适门T1~5，含35长舌、螺母、止退件；锁头法兰贴门底Z782，末端接触面H19.5为Z801.5；S10E接收顶Z801.3留0.2，不能按近轴GH18定位接收面。锁舌扫掠留净。；官网旧规格表写MS705-1-1.1，当前尺寸图写MS705-1-1；订货应随附本图，以35锁舌/直槽芯版本核对，不混54长舌版本。</x:v>
      </x:c>
    </x:row>
    <x:row r="68" ht="66" hidden="0" customHeight="1">
      <x:c r="A68" s="14" t="str">
        <x:v>H05</x:v>
      </x:c>
      <x:c r="B68" s="14" t="str">
        <x:v>排插滑拆固定器组</x:v>
      </x:c>
      <x:c r="C68" s="14" t="str">
        <x:v>S07</x:v>
      </x:c>
      <x:c r="D68" s="14" t="str">
        <x:v>采购五金</x:v>
      </x:c>
      <x:c r="E68" s="14" t="str">
        <x:v>ABS＋3M胶</x:v>
      </x:c>
      <x:c r="F68" s="17"/>
      <x:c r="G68" s="17" t="n">
        <x:v>2</x:v>
      </x:c>
      <x:c r="H68" s="27" t="str">
        <x:v>组</x:v>
      </x:c>
      <x:c r="I68" s="17" t="n">
        <x:f>IF(ISBLANK(G68),"",G68*$B$4)</x:f>
        <x:v>2</x:v>
      </x:c>
      <x:c r="J68" s="14" t="str">
        <x:v>每门2套滑拆固定器；包装尺寸99.5×45×9.2非工程外形</x:v>
      </x:c>
      <x:c r="K68" s="14" t="str"/>
      <x:c r="L68" s="14" t="str">
        <x:v>外购成品；按型号采购并做首件配装</x:v>
      </x:c>
      <x:c r="M68" s="14" t="str">
        <x:v>H01</x:v>
      </x:c>
      <x:c r="N68" s="19" t="n">
        <x:v>49</x:v>
      </x:c>
      <x:c r="O68" s="14" t="str">
        <x:v>厂家直链天猫成品；活动门应用为待验证候选</x:v>
      </x:c>
      <x:c r="P68" s="14" t="str">
        <x:v>采购数量</x:v>
      </x:c>
      <x:c r="Q68" s="14" t="str">
        <x:v>https://www.lulian.cn/product/751-cn.html</x:v>
      </x:c>
      <x:c r="R68" s="14" t="str">
        <x:v>LP332 / 每组2套；GN-604背部与喷涂门内面平整清洁，按厂家胶粘并充分固化；每组2套同向滑轨；不钻排插壳。活动门倒置、抗滑脱和热老化未获厂家证明，须连同用户插头做启闭/抗拉首件验证。；不把包装尺寸充当外形；承载额定、装配外包、店铺实时库存未核。</x:v>
      </x:c>
    </x:row>
    <x:row r="69" ht="54" hidden="0" customHeight="1">
      <x:c r="A69" s="13" t="str">
        <x:v>H06</x:v>
      </x:c>
      <x:c r="B69" s="13" t="str">
        <x:v>承托盒白色穿线护口</x:v>
      </x:c>
      <x:c r="C69" s="13" t="str">
        <x:v>W03A</x:v>
      </x:c>
      <x:c r="D69" s="13" t="str">
        <x:v>采购五金</x:v>
      </x:c>
      <x:c r="E69" s="13" t="str">
        <x:v>白色塑料</x:v>
      </x:c>
      <x:c r="F69" s="18"/>
      <x:c r="G69" s="18" t="n">
        <x:v>2</x:v>
      </x:c>
      <x:c r="H69" s="28" t="str">
        <x:v>只</x:v>
      </x:c>
      <x:c r="I69" s="18" t="n">
        <x:f>IF(ISBLANK(G69),"",G69*$B$4)</x:f>
        <x:v>2</x:v>
      </x:c>
      <x:c r="J69" s="13" t="str">
        <x:v>φ50安装孔；两件式；经销规格入孔深22</x:v>
      </x:c>
      <x:c r="K69" s="13" t="str"/>
      <x:c r="L69" s="13" t="str">
        <x:v>外购成品；按型号采购并做首件配装</x:v>
      </x:c>
      <x:c r="M69" s="13" t="str">
        <x:v>H01</x:v>
      </x:c>
      <x:c r="N69" s="20" t="n">
        <x:v>49</x:v>
      </x:c>
      <x:c r="O69" s="13" t="str">
        <x:v>可网购具体型号；到货φ50孔配装及入孔深待复核</x:v>
      </x:c>
      <x:c r="P69" s="13" t="str">
        <x:v>采购数量</x:v>
      </x:c>
      <x:c r="Q69" s="13" t="str">
        <x:v>https://www.hafele.com/INTERSHOP/static/WFS/Haefele-HAC-Site/-/Haefele-HAC/en_US/opentext/assets/hac/Closet_Catalog_2022.pdf</x:v>
      </x:c>
      <x:c r="R69" s="13" t="str">
        <x:v>429.99.735；W03A长侧T15板φ50孔；局部u165/v51，全局(600/1400,492.5,842)，孔朝近侧-Y。筒向盒内突出约7；保持周围净空，按厂家允许压装或胶粘。可取盖穿原装插头，再恢复护口；开口及插头穿越须首件核实。；S51/WHT孔径44.2与本项目不符，已排除；不改原φ50孔为错规格。</x:v>
      </x:c>
    </x:row>
    <x:row r="70" ht="54" hidden="0" customHeight="1">
      <x:c r="A70" s="14" t="str">
        <x:v>H07</x:v>
      </x:c>
      <x:c r="B70" s="14" t="str">
        <x:v>小翻盖隐藏桶式铰链</x:v>
      </x:c>
      <x:c r="C70" s="14" t="str">
        <x:v>A03</x:v>
      </x:c>
      <x:c r="D70" s="14" t="str">
        <x:v>采购五金</x:v>
      </x:c>
      <x:c r="E70" s="14" t="str">
        <x:v>黄铜</x:v>
      </x:c>
      <x:c r="F70" s="17"/>
      <x:c r="G70" s="17" t="n">
        <x:v>8</x:v>
      </x:c>
      <x:c r="H70" s="27" t="str">
        <x:v>只</x:v>
      </x:c>
      <x:c r="I70" s="17" t="n">
        <x:f>IF(ISBLANK(G70),"",G70*$B$4)</x:f>
        <x:v>8</x:v>
      </x:c>
      <x:c r="J70" s="14" t="str">
        <x:v>桶径10；盲孔φ10深11.5；孔心距朝开口边6.8；D≥2；E≤1.8；最小板厚12.7；开启180°</x:v>
      </x:c>
      <x:c r="K70" s="14" t="str"/>
      <x:c r="L70" s="14" t="str">
        <x:v>外购成品；按型号采购并做首件配装</x:v>
      </x:c>
      <x:c r="M70" s="14" t="str">
        <x:v>H03</x:v>
      </x:c>
      <x:c r="N70" s="19" t="n">
        <x:v>51</x:v>
      </x:c>
      <x:c r="O70" s="14" t="str">
        <x:v>厂家官网可加入购物车；中国现货和进口交期未核</x:v>
      </x:c>
      <x:c r="P70" s="14" t="str">
        <x:v>采购数量</x:v>
      </x:c>
      <x:c r="Q70" s="14" t="str">
        <x:v>https://www.soss.com/product/barrel-hinge/</x:v>
      </x:c>
      <x:c r="R70" s="14" t="str">
        <x:v>BH104；T18盖及桌面均从顶面钻φ10深11.5；剩板厚6.5。每盖u50/248、孔心距外侧开合边6.8；180°展开对应桌面闭合共面，操作抬90°。；厂家仅轻型应用，无扭矩保持；闭合须8只独立角码支承。顶面可见桶式铰链金属链节；低Y毛刷安装28×7槽保留，不能误删。</x:v>
      </x:c>
    </x:row>
    <x:row r="71" ht="54" hidden="0" customHeight="1">
      <x:c r="A71" s="13" t="str">
        <x:v>H09</x:v>
      </x:c>
      <x:c r="B71" s="13" t="str">
        <x:v>桌面M6机螺钉</x:v>
      </x:c>
      <x:c r="C71" s="13" t="str">
        <x:v>A03</x:v>
      </x:c>
      <x:c r="D71" s="13" t="str">
        <x:v>采购五金</x:v>
      </x:c>
      <x:c r="E71" s="13" t="str">
        <x:v>12.9级钢镀锌</x:v>
      </x:c>
      <x:c r="F71" s="18"/>
      <x:c r="G71" s="18" t="n">
        <x:v>8</x:v>
      </x:c>
      <x:c r="H71" s="28" t="str">
        <x:v>只</x:v>
      </x:c>
      <x:c r="I71" s="18" t="n">
        <x:f>IF(ISBLANK(G71),"",G71*$B$4)</x:f>
        <x:v>8</x:v>
      </x:c>
      <x:c r="J71" s="13" t="str">
        <x:v>M6×1；公称杆长12；配平垫6.4×12×1.6</x:v>
      </x:c>
      <x:c r="K71" s="13" t="str"/>
      <x:c r="L71" s="13" t="str">
        <x:v>外购成品；按型号采购并做首件配装</x:v>
      </x:c>
      <x:c r="M71" s="13" t="str">
        <x:v>H02</x:v>
      </x:c>
      <x:c r="N71" s="20" t="n">
        <x:v>50</x:v>
      </x:c>
      <x:c r="O71" s="13" t="str">
        <x:v>准确规格商品/可选规格页可网购；中国配送及实时库存未核</x:v>
      </x:c>
      <x:c r="P71" s="13" t="str">
        <x:v>采购数量</x:v>
      </x:c>
      <x:c r="Q71" s="13" t="str">
        <x:v>https://www.nbk1560.com/en-US/products/specialscrew/nedzicom/socketheadcapscrew/SNS/</x:v>
      </x:c>
      <x:c r="R71" s="13" t="str">
        <x:v>ISO 4762 / DIN 912 M6×12；穿T3固定耳＋T1.6垫片，进入桌面嵌母7.4；由桌下拆装；成对点X580/850/1150/1420×Y328/872；8点为R02设计数量；拧紧扭矩按实际阻燃多层板试验，不能套用钢连接满扭矩。</x:v>
      </x:c>
    </x:row>
    <x:row r="72" ht="66" hidden="0" customHeight="1">
      <x:c r="A72" s="14" t="str">
        <x:v>H10</x:v>
      </x:c>
      <x:c r="B72" s="14" t="str">
        <x:v>桌面M6木用嵌入螺母</x:v>
      </x:c>
      <x:c r="C72" s="14" t="str">
        <x:v>W01</x:v>
      </x:c>
      <x:c r="D72" s="14" t="str">
        <x:v>采购五金</x:v>
      </x:c>
      <x:c r="E72" s="14" t="str">
        <x:v>镀锌钢</x:v>
      </x:c>
      <x:c r="F72" s="17"/>
      <x:c r="G72" s="17" t="n">
        <x:v>8</x:v>
      </x:c>
      <x:c r="H72" s="27" t="str">
        <x:v>只</x:v>
      </x:c>
      <x:c r="I72" s="17" t="n">
        <x:f>IF(ISBLANK(G72),"",G72*$B$4)</x:f>
        <x:v>8</x:v>
      </x:c>
      <x:c r="J72" s="14" t="str">
        <x:v>外径12；L12；内牙M6；内六角SW6；厂家底孔10.0~10.5</x:v>
      </x:c>
      <x:c r="K72" s="14" t="str"/>
      <x:c r="L72" s="14" t="str">
        <x:v>外购成品；按型号采购并做首件配装</x:v>
      </x:c>
      <x:c r="M72" s="14" t="str">
        <x:v>H02</x:v>
      </x:c>
      <x:c r="N72" s="19" t="n">
        <x:v>50</x:v>
      </x:c>
      <x:c r="O72" s="14" t="str">
        <x:v>厂家官网可在线订购；中国现货和进口交期未核</x:v>
      </x:c>
      <x:c r="P72" s="14" t="str">
        <x:v>采购数量</x:v>
      </x:c>
      <x:c r="Q72" s="14" t="str">
        <x:v>https://www.rampa.com/eu/en/rampa-inserts-type-skd30/439612001010</x:v>
      </x:c>
      <x:c r="R72" s="14" t="str">
        <x:v>SKD30 439612001；从桌面底安装；试样底孔φ10.5深14、面层最小保留4；嵌件法兰与底面齐，深度限位钻孔；底孔深14是本项目T18安全余量设计，厂家仅提供底孔直径范围；在同批阻燃板试装/拔出检查后放行。不拿京东泛称M6×12未知外径件直接代换。</x:v>
      </x:c>
    </x:row>
    <x:row r="73" ht="42" hidden="0" customHeight="1">
      <x:c r="A73" s="13" t="str">
        <x:v>H11</x:v>
      </x:c>
      <x:c r="B73" s="13" t="str">
        <x:v>M6平垫圈</x:v>
      </x:c>
      <x:c r="C73" s="13" t="str">
        <x:v>A03</x:v>
      </x:c>
      <x:c r="D73" s="13" t="str">
        <x:v>采购五金</x:v>
      </x:c>
      <x:c r="E73" s="13" t="str">
        <x:v>镀锌钢</x:v>
      </x:c>
      <x:c r="F73" s="18"/>
      <x:c r="G73" s="18" t="n">
        <x:v>8</x:v>
      </x:c>
      <x:c r="H73" s="28" t="str">
        <x:v>只</x:v>
      </x:c>
      <x:c r="I73" s="18" t="n">
        <x:f>IF(ISBLANK(G73),"",G73*$B$4)</x:f>
        <x:v>8</x:v>
      </x:c>
      <x:c r="J73" s="13" t="str">
        <x:v>φ6.4×φ12×T1.6</x:v>
      </x:c>
      <x:c r="K73" s="13" t="str"/>
      <x:c r="L73" s="13" t="str">
        <x:v>外购成品；按型号采购并做首件配装</x:v>
      </x:c>
      <x:c r="M73" s="13" t="str">
        <x:v>H02</x:v>
      </x:c>
      <x:c r="N73" s="20" t="n">
        <x:v>50</x:v>
      </x:c>
      <x:c r="O73" s="13" t="str">
        <x:v>准确规格商品/可选规格页可网购；中国配送及实时库存未核</x:v>
      </x:c>
      <x:c r="P73" s="13" t="str">
        <x:v>采购数量</x:v>
      </x:c>
      <x:c r="Q73" s="13" t="str">
        <x:v>https://www.mofakult.fr/en/washer-m6-6-4-12-1-6-galvanized-29733</x:v>
      </x:c>
      <x:c r="R73" s="13" t="str">
        <x:v>ISO 7089 / DIN 125-A 6；与8只M6×12配套；覆盖6.6×12长圆调节孔；不要用不同厚度弹垫替代，否则有效啮合长度变化。</x:v>
      </x:c>
    </x:row>
    <x:row r="74" ht="42" hidden="0" customHeight="1">
      <x:c r="A74" s="14" t="str">
        <x:v>H12</x:v>
      </x:c>
      <x:c r="B74" s="14" t="str">
        <x:v>检修门合页螺钉配套</x:v>
      </x:c>
      <x:c r="C74" s="14" t="str">
        <x:v>S07</x:v>
      </x:c>
      <x:c r="D74" s="14" t="str">
        <x:v>采购五金</x:v>
      </x:c>
      <x:c r="E74" s="14" t="str">
        <x:v>不锈钢</x:v>
      </x:c>
      <x:c r="F74" s="17"/>
      <x:c r="G74" s="17" t="n">
        <x:v>16</x:v>
      </x:c>
      <x:c r="H74" s="27" t="str">
        <x:v>套</x:v>
      </x:c>
      <x:c r="I74" s="17" t="n">
        <x:f>IF(ISBLANK(G74),"",G74*$B$4)</x:f>
        <x:v>16</x:v>
      </x:c>
      <x:c r="J74" s="14" t="str">
        <x:v>M3×0.5×8；每合页4套</x:v>
      </x:c>
      <x:c r="K74" s="14" t="str"/>
      <x:c r="L74" s="14" t="str">
        <x:v>外购成品；按型号采购并做首件配装</x:v>
      </x:c>
      <x:c r="M74" s="14" t="str">
        <x:v>H03</x:v>
      </x:c>
      <x:c r="N74" s="19" t="n">
        <x:v>51</x:v>
      </x:c>
      <x:c r="O74" s="14" t="str">
        <x:v>准确规格商品/可选规格页可网购；中国配送及实时库存未核</x:v>
      </x:c>
      <x:c r="P74" s="14" t="str">
        <x:v>采购数量</x:v>
      </x:c>
      <x:c r="Q74" s="14" t="str">
        <x:v>https://www.vital-parts.co.uk/phillips-pan-head-machine-screws-din-7985h/17017-pph7985h-m3-8-a2</x:v>
      </x:c>
      <x:c r="R74" s="14" t="str">
        <x:v>M3×8盘头＋M3防松螺母＋M3平垫；穿φ3.8合页孔与门/底盘配孔；每套1螺钉1平垫1防松螺母；组装后验轴芯可操作；合页叶片T1.5＋门T1.5（或支撑板）；M3×8避免长端侵入活动区。</x:v>
      </x:c>
    </x:row>
    <x:row r="75" ht="54" hidden="0" customHeight="1">
      <x:c r="A75" s="13" t="str">
        <x:v>H13</x:v>
      </x:c>
      <x:c r="B75" s="13" t="str">
        <x:v>检修盖及吊板防脱螺钉</x:v>
      </x:c>
      <x:c r="C75" s="13" t="str">
        <x:v>A04</x:v>
      </x:c>
      <x:c r="D75" s="13" t="str">
        <x:v>采购五金</x:v>
      </x:c>
      <x:c r="E75" s="13" t="str">
        <x:v>SUSXM7（SUS304同等）</x:v>
      </x:c>
      <x:c r="F75" s="18"/>
      <x:c r="G75" s="18" t="n">
        <x:v>8</x:v>
      </x:c>
      <x:c r="H75" s="28" t="str">
        <x:v>只</x:v>
      </x:c>
      <x:c r="I75" s="18" t="n">
        <x:f>IF(ISBLANK(G75),"",G75*$B$4)</x:f>
        <x:v>8</x:v>
      </x:c>
      <x:c r="J75" s="13" t="str">
        <x:v>M5×0.8；杆长8；末端牙长4；颈径3.9；头φ8.5×5；内六角4</x:v>
      </x:c>
      <x:c r="K75" s="13" t="str"/>
      <x:c r="L75" s="13" t="str">
        <x:v>外购成品；按型号采购并做首件配装</x:v>
      </x:c>
      <x:c r="M75" s="13" t="str">
        <x:v>H02</x:v>
      </x:c>
      <x:c r="N75" s="20" t="n">
        <x:v>50</x:v>
      </x:c>
      <x:c r="O75" s="13" t="str">
        <x:v>NBK中国官方询价/官方1688渠道；库存未核</x:v>
      </x:c>
      <x:c r="P75" s="13" t="str">
        <x:v>采购数量</x:v>
      </x:c>
      <x:c r="Q75" s="13" t="str">
        <x:v>https://www.nbk1560.com/en-US/products/specialscrew/nedzicom/captivescrew/SSC/SSC-M5/SSC-M5-8/</x:v>
      </x:c>
      <x:c r="R75" s="13" t="str">
        <x:v>SSC-M5-8；中央盖4：T1.5攻M5防脱＋T1底盘＋T2补强＋DIN929 M5，夹紧栈4.5，啮合3.5。吊板4：T2攻M5防脱＋T3臂＋DIN929 M5，夹紧栈5，啮合3。；盖4点(840/1160,450/750)；吊板4点(890/1110,470/730)。SSC末牙4、颈4；不换长10型号。</x:v>
      </x:c>
    </x:row>
    <x:row r="76" ht="54" hidden="0" customHeight="1">
      <x:c r="A76" s="14" t="str">
        <x:v>H25</x:v>
      </x:c>
      <x:c r="B76" s="14" t="str">
        <x:v>成品过线衬套</x:v>
      </x:c>
      <x:c r="C76" s="14" t="str">
        <x:v>A06</x:v>
      </x:c>
      <x:c r="D76" s="14" t="str">
        <x:v>采购五金</x:v>
      </x:c>
      <x:c r="E76" s="14" t="str">
        <x:v>锌合金ZDC黑色</x:v>
      </x:c>
      <x:c r="F76" s="17"/>
      <x:c r="G76" s="17" t="n">
        <x:v>20</x:v>
      </x:c>
      <x:c r="H76" s="27" t="str">
        <x:v>只</x:v>
      </x:c>
      <x:c r="I76" s="17" t="n">
        <x:f>IF(ISBLANK(G76),"",G76*$B$4)</x:f>
        <x:v>20</x:v>
      </x:c>
      <x:c r="J76" s="14" t="str">
        <x:v>外缘φ18；嵌入φ14；内孔φ12；总高18；法兰高2</x:v>
      </x:c>
      <x:c r="K76" s="14" t="str"/>
      <x:c r="L76" s="14" t="str">
        <x:v>外购成品；按型号采购并做首件配装</x:v>
      </x:c>
      <x:c r="M76" s="14" t="str">
        <x:v>A06</x:v>
      </x:c>
      <x:c r="N76" s="19" t="n">
        <x:v>52</x:v>
      </x:c>
      <x:c r="O76" s="14" t="str">
        <x:v>厂家美国官网可按只加购物车；中国配送和库存未核</x:v>
      </x:c>
      <x:c r="P76" s="14" t="str">
        <x:v>采购数量</x:v>
      </x:c>
      <x:c r="Q76" s="14" t="str">
        <x:v>https://www.sugatsune.com/content/site-assets/201B_PDF/CHC-S.pdf</x:v>
      </x:c>
      <x:c r="R76" s="14" t="str">
        <x:v>CHC-S18BL；W01孔φ14+0.5/0；按桌面/设备过线设计装20只；衬套面高出桌面2；替代R01 M01/M02定制金属护套。数量与桌面接口由主装配核对，不凭图示符号加计。</x:v>
      </x:c>
    </x:row>
    <x:row r="77" ht="42" hidden="0" customHeight="1">
      <x:c r="A77" s="13" t="str">
        <x:v>H26</x:v>
      </x:c>
      <x:c r="B77" s="13" t="str">
        <x:v>闲置孔成品盖</x:v>
      </x:c>
      <x:c r="C77" s="13" t="str">
        <x:v>A06</x:v>
      </x:c>
      <x:c r="D77" s="13" t="str">
        <x:v>采购五金</x:v>
      </x:c>
      <x:c r="E77" s="13" t="str">
        <x:v>塑料</x:v>
      </x:c>
      <x:c r="F77" s="18"/>
      <x:c r="G77" s="18" t="n">
        <x:v>10</x:v>
      </x:c>
      <x:c r="H77" s="28" t="str">
        <x:v>只</x:v>
      </x:c>
      <x:c r="I77" s="18" t="n">
        <x:f>IF(ISBLANK(G77),"",G77*$B$4)</x:f>
        <x:v>10</x:v>
      </x:c>
      <x:c r="J77" s="13" t="str">
        <x:v>适φ12孔；头φ18；H2；插杆8.4</x:v>
      </x:c>
      <x:c r="K77" s="13" t="str"/>
      <x:c r="L77" s="13" t="str">
        <x:v>外购成品；按型号采购并做首件配装</x:v>
      </x:c>
      <x:c r="M77" s="13" t="str">
        <x:v>A06</x:v>
      </x:c>
      <x:c r="N77" s="20" t="n">
        <x:v>52</x:v>
      </x:c>
      <x:c r="O77" s="13" t="str">
        <x:v>国外经销商网购500只/包；单桌用10只，中国配送及实时库存未核</x:v>
      </x:c>
      <x:c r="P77" s="13" t="str">
        <x:v>采购数量</x:v>
      </x:c>
      <x:c r="Q77" s="13" t="str">
        <x:v>https://hafelethailand.com/wp-content/uploads/2025/12/13-Tooling-Screws-and-Consumables.pdf</x:v>
      </x:c>
      <x:c r="R77" s="13" t="str">
        <x:v>045.00.332；装入CHC-S18BL内φ12；组合总突出约4；首件实配通过前不得当认证配套；与LAMP衬套属于跨品牌组合，需确认卡紧、拔出力及顶高；不伪称厂家认证套装。</x:v>
      </x:c>
    </x:row>
    <x:row r="78" ht="42" hidden="0" customHeight="1">
      <x:c r="A78" s="14" t="str">
        <x:v>H14</x:v>
      </x:c>
      <x:c r="B78" s="14" t="str">
        <x:v>检修盖及吊板M5焊接螺母</x:v>
      </x:c>
      <x:c r="C78" s="14" t="str">
        <x:v>A04</x:v>
      </x:c>
      <x:c r="D78" s="14" t="str">
        <x:v>采购五金</x:v>
      </x:c>
      <x:c r="E78" s="14" t="str">
        <x:v>可焊钢本色</x:v>
      </x:c>
      <x:c r="F78" s="17"/>
      <x:c r="G78" s="17" t="n">
        <x:v>8</x:v>
      </x:c>
      <x:c r="H78" s="27" t="str">
        <x:v>只</x:v>
      </x:c>
      <x:c r="I78" s="17" t="n">
        <x:f>IF(ISBLANK(G78),"",G78*$B$4)</x:f>
        <x:v>8</x:v>
      </x:c>
      <x:c r="J78" s="14" t="str">
        <x:v>M5×0.8；对边10；厚4；定位凸台6.96最大</x:v>
      </x:c>
      <x:c r="K78" s="14" t="str"/>
      <x:c r="L78" s="14" t="str">
        <x:v>外购成品；按型号采购并做首件配装</x:v>
      </x:c>
      <x:c r="M78" s="14" t="str">
        <x:v>H02</x:v>
      </x:c>
      <x:c r="N78" s="19" t="n">
        <x:v>50</x:v>
      </x:c>
      <x:c r="O78" s="14" t="str">
        <x:v>准确规格商品/可选规格页可网购；中国配送及实时库存未核</x:v>
      </x:c>
      <x:c r="P78" s="14" t="str">
        <x:v>采购数量</x:v>
      </x:c>
      <x:c r="Q78" s="14" t="str">
        <x:v>https://www.nufast.co.uk/uploads/DIN_929.pdf</x:v>
      </x:c>
      <x:c r="R78" s="14" t="str">
        <x:v>DIN929 M5 钢本色；盖T2补强片或吊板T3臂均φ7 H11定位后焊；盖4、板4；对应SSC-M5-8。；订单具体SKU、包装量和库存待采购核对。</x:v>
      </x:c>
    </x:row>
    <x:row r="79" ht="42" hidden="0" customHeight="1">
      <x:c r="A79" s="13" t="str">
        <x:v>H15</x:v>
      </x:c>
      <x:c r="B79" s="13" t="str">
        <x:v>横梁M6连接螺钉配套</x:v>
      </x:c>
      <x:c r="C79" s="13" t="str">
        <x:v>S09A</x:v>
      </x:c>
      <x:c r="D79" s="13" t="str">
        <x:v>采购五金</x:v>
      </x:c>
      <x:c r="E79" s="13" t="str">
        <x:v>12.9级螺钉＋镀锌钢平垫</x:v>
      </x:c>
      <x:c r="F79" s="18"/>
      <x:c r="G79" s="18" t="n">
        <x:v>16</x:v>
      </x:c>
      <x:c r="H79" s="28" t="str">
        <x:v>套</x:v>
      </x:c>
      <x:c r="I79" s="18" t="n">
        <x:f>IF(ISBLANK(G79),"",G79*$B$4)</x:f>
        <x:v>16</x:v>
      </x:c>
      <x:c r="J79" s="13" t="str">
        <x:v>M6×20；头下垫6.4×12×T1.6；每套各1</x:v>
      </x:c>
      <x:c r="K79" s="13" t="str"/>
      <x:c r="L79" s="13" t="str">
        <x:v>外购成品；按型号采购并做首件配装</x:v>
      </x:c>
      <x:c r="M79" s="13" t="str">
        <x:v>H02</x:v>
      </x:c>
      <x:c r="N79" s="20" t="n">
        <x:v>50</x:v>
      </x:c>
      <x:c r="O79" s="13" t="str">
        <x:v>准确规格商品/可选规格页可网购；中国配送及实时库存未核</x:v>
      </x:c>
      <x:c r="P79" s="13" t="str">
        <x:v>采购数量</x:v>
      </x:c>
      <x:c r="Q79" s="13" t="str">
        <x:v>https://www.misumi.com.cn/</x:v>
      </x:c>
      <x:c r="R79" s="13" t="str">
        <x:v>ISO4762 M6×20＋ISO7089平垫6；C筋T2＋每螺栓4mm调整片＋S09A T3端板＋DIN929M6；每端2点，共16套。；订单具体SKU、包装量和库存待采购核对。</x:v>
      </x:c>
    </x:row>
    <x:row r="80" ht="42" hidden="0" customHeight="1">
      <x:c r="A80" s="14" t="str">
        <x:v>H16</x:v>
      </x:c>
      <x:c r="B80" s="14" t="str">
        <x:v>横梁M6焊接螺母</x:v>
      </x:c>
      <x:c r="C80" s="14" t="str">
        <x:v>S09A</x:v>
      </x:c>
      <x:c r="D80" s="14" t="str">
        <x:v>采购五金</x:v>
      </x:c>
      <x:c r="E80" s="14" t="str">
        <x:v>可焊钢本色</x:v>
      </x:c>
      <x:c r="F80" s="17"/>
      <x:c r="G80" s="17" t="n">
        <x:v>16</x:v>
      </x:c>
      <x:c r="H80" s="27" t="str">
        <x:v>只</x:v>
      </x:c>
      <x:c r="I80" s="17" t="n">
        <x:f>IF(ISBLANK(G80),"",G80*$B$4)</x:f>
        <x:v>16</x:v>
      </x:c>
      <x:c r="J80" s="14" t="str">
        <x:v>M6×1；对边11；厚5；定位凸台7.96最大</x:v>
      </x:c>
      <x:c r="K80" s="14" t="str"/>
      <x:c r="L80" s="14" t="str">
        <x:v>外购成品；按型号采购并做首件配装</x:v>
      </x:c>
      <x:c r="M80" s="14" t="str">
        <x:v>H02</x:v>
      </x:c>
      <x:c r="N80" s="19" t="n">
        <x:v>50</x:v>
      </x:c>
      <x:c r="O80" s="14" t="str">
        <x:v>准确规格商品/可选规格页可网购；中国配送及实时库存未核</x:v>
      </x:c>
      <x:c r="P80" s="14" t="str">
        <x:v>采购数量</x:v>
      </x:c>
      <x:c r="Q80" s="14" t="str">
        <x:v>https://www.nufast.co.uk/uploads/DIN_929.pdf</x:v>
      </x:c>
      <x:c r="R80" s="14" t="str">
        <x:v>DIN929 M6 钢本色；S09A T3端板φ8 H11；焊母朝管腔；孔心(30,18)/(30,42)；订单具体SKU、包装量和库存待采购核对。</x:v>
      </x:c>
    </x:row>
    <x:row r="81" ht="36" hidden="0" customHeight="1">
      <x:c r="A81" s="13" t="str">
        <x:v>H17</x:v>
      </x:c>
      <x:c r="B81" s="13" t="str">
        <x:v>承托盒M4连接螺钉配套</x:v>
      </x:c>
      <x:c r="C81" s="13" t="str">
        <x:v>S09C</x:v>
      </x:c>
      <x:c r="D81" s="13" t="str">
        <x:v>采购五金</x:v>
      </x:c>
      <x:c r="E81" s="13" t="str">
        <x:v>12.9级螺钉＋镀锌钢平垫</x:v>
      </x:c>
      <x:c r="F81" s="18"/>
      <x:c r="G81" s="18" t="n">
        <x:v>8</x:v>
      </x:c>
      <x:c r="H81" s="28" t="str">
        <x:v>套</x:v>
      </x:c>
      <x:c r="I81" s="18" t="n">
        <x:f>IF(ISBLANK(G81),"",G81*$B$4)</x:f>
        <x:v>8</x:v>
      </x:c>
      <x:c r="J81" s="13" t="str">
        <x:v>M4×25；每套1螺钉1平垫</x:v>
      </x:c>
      <x:c r="K81" s="13" t="str"/>
      <x:c r="L81" s="13" t="str">
        <x:v>外购成品；按型号采购并做首件配装</x:v>
      </x:c>
      <x:c r="M81" s="13" t="str">
        <x:v>H02</x:v>
      </x:c>
      <x:c r="N81" s="20" t="n">
        <x:v>50</x:v>
      </x:c>
      <x:c r="O81" s="13" t="str">
        <x:v>准确规格商品/可选规格页可网购；中国配送及实时库存未核</x:v>
      </x:c>
      <x:c r="P81" s="13" t="str">
        <x:v>采购数量</x:v>
      </x:c>
      <x:c r="Q81" s="13" t="str">
        <x:v>https://www.misumi.com.cn/</x:v>
      </x:c>
      <x:c r="R81" s="13" t="str">
        <x:v>M4×25＋M4平垫；轴水平X；穿木板φ4.5后入抱角焊母；订单具体SKU、包装量和库存待采购核对。</x:v>
      </x:c>
    </x:row>
    <x:row r="82" ht="36" hidden="0" customHeight="1">
      <x:c r="A82" s="14" t="str">
        <x:v>H18</x:v>
      </x:c>
      <x:c r="B82" s="14" t="str">
        <x:v>承托盒M4焊接螺母</x:v>
      </x:c>
      <x:c r="C82" s="14" t="str">
        <x:v>S09C</x:v>
      </x:c>
      <x:c r="D82" s="14" t="str">
        <x:v>采购五金</x:v>
      </x:c>
      <x:c r="E82" s="14" t="str">
        <x:v>可焊钢本色</x:v>
      </x:c>
      <x:c r="F82" s="17"/>
      <x:c r="G82" s="17" t="n">
        <x:v>8</x:v>
      </x:c>
      <x:c r="H82" s="27" t="str">
        <x:v>只</x:v>
      </x:c>
      <x:c r="I82" s="17" t="n">
        <x:f>IF(ISBLANK(G82),"",G82*$B$4)</x:f>
        <x:v>8</x:v>
      </x:c>
      <x:c r="J82" s="14" t="str">
        <x:v>M4×0.7；对边9；厚3.5；定位凸台5.97最大</x:v>
      </x:c>
      <x:c r="K82" s="14" t="str"/>
      <x:c r="L82" s="14" t="str">
        <x:v>外购成品；按型号采购并做首件配装</x:v>
      </x:c>
      <x:c r="M82" s="14" t="str">
        <x:v>H02</x:v>
      </x:c>
      <x:c r="N82" s="19" t="n">
        <x:v>50</x:v>
      </x:c>
      <x:c r="O82" s="14" t="str">
        <x:v>准确规格商品/可选规格页可网购；中国配送及实时库存未核</x:v>
      </x:c>
      <x:c r="P82" s="14" t="str">
        <x:v>采购数量</x:v>
      </x:c>
      <x:c r="Q82" s="14" t="str">
        <x:v>https://www.nufast.co.uk/uploads/DIN_929.pdf</x:v>
      </x:c>
      <x:c r="R82" s="14" t="str">
        <x:v>DIN929 M4 钢本色；T2抱角φ6 H11定位焊；与M4×25配套；订单具体SKU、包装量和库存待采购核对。</x:v>
      </x:c>
    </x:row>
    <x:row r="83" ht="54" hidden="0" customHeight="1">
      <x:c r="A83" s="13" t="str">
        <x:v>H19</x:v>
      </x:c>
      <x:c r="B83" s="13" t="str">
        <x:v>翻盖独立承托角码</x:v>
      </x:c>
      <x:c r="C83" s="13" t="str">
        <x:v>A03</x:v>
      </x:c>
      <x:c r="D83" s="13" t="str">
        <x:v>采购五金</x:v>
      </x:c>
      <x:c r="E83" s="13" t="str">
        <x:v>SUS304</x:v>
      </x:c>
      <x:c r="F83" s="18"/>
      <x:c r="G83" s="18" t="n">
        <x:v>8</x:v>
      </x:c>
      <x:c r="H83" s="28" t="str">
        <x:v>只</x:v>
      </x:c>
      <x:c r="I83" s="18" t="n">
        <x:f>IF(ISBLANK(G83),"",G83*$B$4)</x:f>
        <x:v>8</x:v>
      </x:c>
      <x:c r="J83" s="13" t="str">
        <x:v>30×30×宽12×T2.5；4×φ3.5沉φ6.5；两面孔距直角基准11/24</x:v>
      </x:c>
      <x:c r="K83" s="13" t="str"/>
      <x:c r="L83" s="13" t="str">
        <x:v>外购成品；按型号采购并做首件配装</x:v>
      </x:c>
      <x:c r="M83" s="13" t="str">
        <x:v>H03</x:v>
      </x:c>
      <x:c r="N83" s="20" t="n">
        <x:v>51</x:v>
      </x:c>
      <x:c r="O83" s="13" t="str">
        <x:v>成品或标准件可订购；未下单、实时库存未核</x:v>
      </x:c>
      <x:c r="P83" s="13" t="str">
        <x:v>采购数量</x:v>
      </x:c>
      <x:c r="Q83" s="13" t="str">
        <x:v>https://global.sugatsune.com/cn/zh-cn/arch/products/22735_a</x:v>
      </x:c>
      <x:c r="R83" s="13" t="str">
        <x:v>SU-30S / 120-030-070；每盖两短端各1只；角码钢顶Z882−实测含胶软垫厚（名义879.77）；X450..480/720..750及+800；Y中心552/648；厂家安装目录配长螺钉会穿T15板，本项目另购φ3×12；水平面不锁翻盖。</x:v>
      </x:c>
    </x:row>
    <x:row r="84" ht="42" hidden="0" customHeight="1">
      <x:c r="A84" s="14" t="str">
        <x:v>H20</x:v>
      </x:c>
      <x:c r="B84" s="14" t="str">
        <x:v>角码木螺钉</x:v>
      </x:c>
      <x:c r="C84" s="14" t="str">
        <x:v>A03</x:v>
      </x:c>
      <x:c r="D84" s="14" t="str">
        <x:v>采购五金</x:v>
      </x:c>
      <x:c r="E84" s="14" t="str">
        <x:v>镀锌钢</x:v>
      </x:c>
      <x:c r="F84" s="17"/>
      <x:c r="G84" s="17" t="n">
        <x:v>16</x:v>
      </x:c>
      <x:c r="H84" s="27" t="str">
        <x:v>只</x:v>
      </x:c>
      <x:c r="I84" s="17" t="n">
        <x:f>IF(ISBLANK(G84),"",G84*$B$4)</x:f>
        <x:v>16</x:v>
      </x:c>
      <x:c r="J84" s="14" t="str">
        <x:v>每角码竖面2只；杆φ3、长12</x:v>
      </x:c>
      <x:c r="K84" s="14" t="str"/>
      <x:c r="L84" s="14" t="str">
        <x:v>外购成品；按型号采购并做首件配装</x:v>
      </x:c>
      <x:c r="M84" s="14" t="str">
        <x:v>H03</x:v>
      </x:c>
      <x:c r="N84" s="19" t="n">
        <x:v>51</x:v>
      </x:c>
      <x:c r="O84" s="14" t="str">
        <x:v>准确规格商品/可选规格页可网购；中国配送及实时库存未核</x:v>
      </x:c>
      <x:c r="P84" s="14" t="str">
        <x:v>采购数量</x:v>
      </x:c>
      <x:c r="Q84" s="14" t="str">
        <x:v>https://www.misumi.com.cn/</x:v>
      </x:c>
      <x:c r="R84" s="14" t="str">
        <x:v>WV007880 / φ3×12沉头TX10；经T2.5角码横向入T15板约9.5；预钻孔径按实际木料试样，深度限位；订单具体SKU、包装量和库存待采购核对。</x:v>
      </x:c>
    </x:row>
    <x:row r="85" ht="54" hidden="0" customHeight="1">
      <x:c r="A85" s="13" t="str">
        <x:v>H21</x:v>
      </x:c>
      <x:c r="B85" s="13" t="str">
        <x:v>角码软垫</x:v>
      </x:c>
      <x:c r="C85" s="13" t="str">
        <x:v>A03</x:v>
      </x:c>
      <x:c r="D85" s="13" t="str">
        <x:v>采购五金</x:v>
      </x:c>
      <x:c r="E85" s="13" t="str">
        <x:v>EPDM橡胶</x:v>
      </x:c>
      <x:c r="F85" s="18"/>
      <x:c r="G85" s="18" t="n">
        <x:v>8</x:v>
      </x:c>
      <x:c r="H85" s="28" t="str">
        <x:v>片</x:v>
      </x:c>
      <x:c r="I85" s="18" t="n">
        <x:f>IF(ISBLANK(G85),"",G85*$B$4)</x:f>
        <x:v>8</x:v>
      </x:c>
      <x:c r="J85" s="13" t="str">
        <x:v>实心EPDM片200×300×T2，胶另约0.22~0.24；裁8片24×12</x:v>
      </x:c>
      <x:c r="K85" s="13" t="str"/>
      <x:c r="L85" s="13" t="str">
        <x:v>外购成品；按型号采购并做首件配装</x:v>
      </x:c>
      <x:c r="M85" s="13" t="str">
        <x:v>H03</x:v>
      </x:c>
      <x:c r="N85" s="20" t="n">
        <x:v>51</x:v>
      </x:c>
      <x:c r="O85" s="13" t="str">
        <x:v>德国厂家网店可下单1片；国内配送和库存未核</x:v>
      </x:c>
      <x:c r="P85" s="13" t="str">
        <x:v>采购数量</x:v>
      </x:c>
      <x:c r="Q85" s="13" t="str">
        <x:v>https://www.fugendichtband24.de/EPDM-Vollgummimatte-2mm-Staerke-200mm-x-300mm-einseitig-selbstklebend-ca-65-Shore-A.htm</x:v>
      </x:c>
      <x:c r="R85" s="13" t="str">
        <x:v>100191 / EAN4260627935185；含胶名义2.23；按实测总厚定位角码钢顶Z882−实测厚，使软垫顶882；Shore A约65；每桌切8片净面积2304mm²；1片原板足够。含胶厚必须到货实测。</x:v>
      </x:c>
    </x:row>
    <x:row r="86" ht="54" hidden="0" customHeight="1">
      <x:c r="A86" s="14" t="str">
        <x:v>B01</x:v>
      </x:c>
      <x:c r="B86" s="14" t="str">
        <x:v>成品毛刷条</x:v>
      </x:c>
      <x:c r="C86" s="14" t="str">
        <x:v>A03</x:v>
      </x:c>
      <x:c r="D86" s="14" t="str">
        <x:v>采购五金</x:v>
      </x:c>
      <x:c r="E86" s="14" t="str">
        <x:v>尼龙毛＋铝座</x:v>
      </x:c>
      <x:c r="F86" s="17"/>
      <x:c r="G86" s="17" t="n">
        <x:v>2</x:v>
      </x:c>
      <x:c r="H86" s="27" t="str">
        <x:v>根</x:v>
      </x:c>
      <x:c r="I86" s="17" t="n">
        <x:f>IF(ISBLANK(G86),"",G86*$B$4)</x:f>
        <x:v>2</x:v>
      </x:c>
      <x:c r="J86" s="14" t="str">
        <x:v>每根1000；尼龙毛长19；F型铝座；截面总26.5、座6.7×6.7</x:v>
      </x:c>
      <x:c r="K86" s="14" t="str"/>
      <x:c r="L86" s="14" t="str">
        <x:v>外购成品；按型号采购并做首件配装</x:v>
      </x:c>
      <x:c r="M86" s="14" t="str">
        <x:v>H01</x:v>
      </x:c>
      <x:c r="N86" s="19" t="n">
        <x:v>49</x:v>
      </x:c>
      <x:c r="O86" s="14" t="str">
        <x:v>成品或标准件可订购；未下单、实时库存未核</x:v>
      </x:c>
      <x:c r="P86" s="14" t="str">
        <x:v>采购数量</x:v>
      </x:c>
      <x:c r="Q86" s="14" t="str">
        <x:v>https://uk.rs-online.com/web/p/door-seals/3269808</x:v>
      </x:c>
      <x:c r="R86" s="14" t="str">
        <x:v>RS PRO 326-9808；切160+298+500+298+160=1416；4处1缝合计覆盖1420；低Y侧28×7槽，刷毛向+Y，尖端留1；两个298段随W02A翻盖，其余3段固定W01；采购2m含584mm下料余量；取消不明B02挡条。</x:v>
      </x:c>
    </x:row>
    <x:row r="87" ht="42" hidden="0" customHeight="1">
      <x:c r="A87" s="13" t="str">
        <x:v>B03</x:v>
      </x:c>
      <x:c r="B87" s="13" t="str">
        <x:v>毛刷固定木螺钉</x:v>
      </x:c>
      <x:c r="C87" s="13" t="str">
        <x:v>A03</x:v>
      </x:c>
      <x:c r="D87" s="13" t="str">
        <x:v>采购五金</x:v>
      </x:c>
      <x:c r="E87" s="13" t="str">
        <x:v>304不锈钢黑色</x:v>
      </x:c>
      <x:c r="F87" s="18"/>
      <x:c r="G87" s="18" t="n">
        <x:v>10</x:v>
      </x:c>
      <x:c r="H87" s="28" t="str">
        <x:v>只</x:v>
      </x:c>
      <x:c r="I87" s="18" t="n">
        <x:f>IF(ISBLANK(G87),"",G87*$B$4)</x:f>
        <x:v>10</x:v>
      </x:c>
      <x:c r="J87" s="13" t="str">
        <x:v>每毛刷段2枚；5段共10枚</x:v>
      </x:c>
      <x:c r="K87" s="13" t="str"/>
      <x:c r="L87" s="13" t="str">
        <x:v>外购成品；按型号采购并做首件配装</x:v>
      </x:c>
      <x:c r="M87" s="13" t="str">
        <x:v>H01</x:v>
      </x:c>
      <x:c r="N87" s="20" t="n">
        <x:v>49</x:v>
      </x:c>
      <x:c r="O87" s="13" t="str">
        <x:v>准确规格商品/可选规格页可网购；中国配送及实时库存未核</x:v>
      </x:c>
      <x:c r="P87" s="13" t="str">
        <x:v>采购数量</x:v>
      </x:c>
      <x:c r="Q87" s="13" t="str">
        <x:v>https://www.misumi.com.cn/</x:v>
      </x:c>
      <x:c r="R87" s="13" t="str">
        <x:v>000338aa230623qmaneu / φ3×8；成品铝型材自配φ3.5孔；不得把型材截面剪短；木板槽后余厚11，限深避免穿面；订单具体SKU、包装量和库存待采购核对。</x:v>
      </x:c>
    </x:row>
    <x:row r="88" ht="54" hidden="0" customHeight="1">
      <x:c r="A88" s="14" t="str">
        <x:v>H22</x:v>
      </x:c>
      <x:c r="B88" s="14" t="str">
        <x:v>横梁调整垫片</x:v>
      </x:c>
      <x:c r="C88" s="14" t="str">
        <x:v>S09A</x:v>
      </x:c>
      <x:c r="D88" s="14" t="str">
        <x:v>采购五金</x:v>
      </x:c>
      <x:c r="E88" s="14" t="str">
        <x:v>SUS304</x:v>
      </x:c>
      <x:c r="F88" s="17"/>
      <x:c r="G88" s="17" t="n">
        <x:v>64</x:v>
      </x:c>
      <x:c r="H88" s="27" t="str">
        <x:v>片</x:v>
      </x:c>
      <x:c r="I88" s="17" t="n">
        <x:f>IF(ISBLANK(G88),"",G88*$B$4)</x:f>
        <x:v>64</x:v>
      </x:c>
      <x:c r="J88" s="14" t="str">
        <x:v>内径6、外径12、厚1；每个螺栓4片叠为4</x:v>
      </x:c>
      <x:c r="K88" s="14" t="str"/>
      <x:c r="L88" s="14" t="str">
        <x:v>外购成品；按型号采购并做首件配装</x:v>
      </x:c>
      <x:c r="M88" s="14" t="str">
        <x:v>H02</x:v>
      </x:c>
      <x:c r="N88" s="19" t="n">
        <x:v>50</x:v>
      </x:c>
      <x:c r="O88" s="14" t="str">
        <x:v>厂家网店100片/包可加入购物车；国内配送和库存未核</x:v>
      </x:c>
      <x:c r="P88" s="14" t="str">
        <x:v>采购数量</x:v>
      </x:c>
      <x:c r="Q88" s="14" t="str">
        <x:v>https://www.wkooa.com/product/6x12x1-shim-washers-stainless-steel-round-metric-din988-w29338</x:v>
      </x:c>
      <x:c r="R88" s="14" t="str">
        <x:v>W29338 / DIN988 6×12×1；16个M6螺栓位置×4片=64；每端2螺栓8片；使478总长梁装入486内净距；成品调整片，不能按8个梁端误计32；安装实测总厚及孔径通过性。</x:v>
      </x:c>
    </x:row>
    <x:row r="89" ht="66" hidden="0" customHeight="1">
      <x:c r="A89" s="13" t="str">
        <x:v>H23</x:v>
      </x:c>
      <x:c r="B89" s="13" t="str">
        <x:v>检修盖及吊板防坠索</x:v>
      </x:c>
      <x:c r="C89" s="13" t="str">
        <x:v>A04</x:v>
      </x:c>
      <x:c r="D89" s="13" t="str">
        <x:v>采购五金</x:v>
      </x:c>
      <x:c r="E89" s="13" t="str">
        <x:v>不锈钢素色</x:v>
      </x:c>
      <x:c r="F89" s="18"/>
      <x:c r="G89" s="18" t="n">
        <x:v>4</x:v>
      </x:c>
      <x:c r="H89" s="28" t="str">
        <x:v>根</x:v>
      </x:c>
      <x:c r="I89" s="18" t="n">
        <x:f>IF(ISBLANK(G89),"",G89*$B$4)</x:f>
        <x:v>4</x:v>
      </x:c>
      <x:c r="J89" s="13" t="str">
        <x:v>钢索φ1.6；索环根间150；两端片孔φ5.3、宽14、T1.5；拉直孔心距约183</x:v>
      </x:c>
      <x:c r="K89" s="13" t="str"/>
      <x:c r="L89" s="13" t="str">
        <x:v>外购成品；按型号采购并做首件配装</x:v>
      </x:c>
      <x:c r="M89" s="13" t="str">
        <x:v>H01</x:v>
      </x:c>
      <x:c r="N89" s="20" t="n">
        <x:v>49</x:v>
      </x:c>
      <x:c r="O89" s="13" t="str">
        <x:v>经销网店可加入购物篮但页面无现货；须核交期及中国配送</x:v>
      </x:c>
      <x:c r="P89" s="13" t="str">
        <x:v>采购数量</x:v>
      </x:c>
      <x:c r="Q89" s="13" t="str">
        <x:v>https://www.ganternorm.com/en/products/3.2-Mounting-Positioning-Leveling-with-Retaining-Cables-Screws-Clamping-and-Supporting-Elements/Retaining-cables/GN-111.2-Retaining-Cables-Stainless-Steel-with-Mounting-Tabs-or-Loops?artikelnr=111.2-150-C-BL</x:v>
      </x:c>
      <x:c r="R89" s="13" t="str">
        <x:v>GN111.2-150-C-BL；盖2根、吊板2根；载板平差X40/Y20、初始Z差2，下放约175.45；盖竖挂平差10、上下差182.73；有效长度按实物核；厂家1800N是静载参考，非动态跌落额定。固定端片两面大垫夹持，盖/吊板下放全过程托住，防坠仅兜底。</x:v>
      </x:c>
    </x:row>
    <x:row r="90" ht="66" hidden="0" customHeight="1">
      <x:c r="A90" s="14" t="str">
        <x:v>H24</x:v>
      </x:c>
      <x:c r="B90" s="14" t="str">
        <x:v>防坠索端片紧固配套</x:v>
      </x:c>
      <x:c r="C90" s="14" t="str">
        <x:v>A04</x:v>
      </x:c>
      <x:c r="D90" s="14" t="str">
        <x:v>采购五金</x:v>
      </x:c>
      <x:c r="E90" s="14" t="str">
        <x:v>A2不锈钢</x:v>
      </x:c>
      <x:c r="F90" s="17"/>
      <x:c r="G90" s="17" t="n">
        <x:v>8</x:v>
      </x:c>
      <x:c r="H90" s="27" t="str">
        <x:v>套</x:v>
      </x:c>
      <x:c r="I90" s="17" t="n">
        <x:f>IF(ISBLANK(G90),"",G90*$B$4)</x:f>
        <x:v>8</x:v>
      </x:c>
      <x:c r="J90" s="14" t="str">
        <x:v>每套1盘头螺钉、2大垫φ4.3×12×T1、1防松母；M4母总高5</x:v>
      </x:c>
      <x:c r="K90" s="14" t="str"/>
      <x:c r="L90" s="14" t="str">
        <x:v>外购成品；按型号采购并做首件配装</x:v>
      </x:c>
      <x:c r="M90" s="14" t="str">
        <x:v>H01</x:v>
      </x:c>
      <x:c r="N90" s="19" t="n">
        <x:v>49</x:v>
      </x:c>
      <x:c r="O90" s="14" t="str">
        <x:v>螺钉准确型号可网购；套内垫圈与螺母分购，国内配送及库存未核</x:v>
      </x:c>
      <x:c r="P90" s="14" t="str">
        <x:v>采购数量</x:v>
      </x:c>
      <x:c r="Q90" s="14" t="str">
        <x:v>https://www.westfieldfasteners.co.uk/Standards/Washer-od3nom-M.pdf</x:v>
      </x:c>
      <x:c r="R90" s="14" t="str">
        <x:v>ISO7045 M4×16＋2×DIN9021 M4＋DIN985 M4；悬臂螺钉从上向下，头＋上垫最大4.25；端片直接贴钢件下侧，下垫及防松母夹紧；木底净0.75；悬臂T3＋两垫T1＋端片T1.5＋防松母高5，M4×16末端余4.5；已核下方不撞梁/箱体。盖锚(860/1140,440)，底盘锚同X、Y400。</x:v>
      </x:c>
    </x:row>
    <x:row r="91" ht="36" hidden="0" customHeight="1">
      <x:c r="A91" s="13" t="str">
        <x:v>A06</x:v>
      </x:c>
      <x:c r="B91" s="13" t="str">
        <x:v>成品护口与孔盖组件</x:v>
      </x:c>
      <x:c r="C91" s="13" t="str">
        <x:v>A03</x:v>
      </x:c>
      <x:c r="D91" s="13" t="str">
        <x:v>装配</x:v>
      </x:c>
      <x:c r="E91" s="13" t="str">
        <x:v>锌合金衬套＋塑料盖组合</x:v>
      </x:c>
      <x:c r="F91" s="18"/>
      <x:c r="G91" s="18" t="n">
        <x:v>1</x:v>
      </x:c>
      <x:c r="H91" s="28" t="str">
        <x:v>套</x:v>
      </x:c>
      <x:c r="I91" s="18" t="n">
        <x:f>IF(ISBLANK(G91),"",G91*$B$4)</x:f>
        <x:v>1</x:v>
      </x:c>
      <x:c r="J91" s="13" t="str">
        <x:v>20只衬套＋10只盖</x:v>
      </x:c>
      <x:c r="K91" s="13" t="str"/>
      <x:c r="L91" s="13" t="str">
        <x:v>成品安装与首件卡紧复核</x:v>
      </x:c>
      <x:c r="M91" s="13" t="str">
        <x:v>A06</x:v>
      </x:c>
      <x:c r="N91" s="20" t="n">
        <x:v>52</x:v>
      </x:c>
      <x:c r="O91" s="13" t="str">
        <x:v>首件跨品牌配装待核</x:v>
      </x:c>
      <x:c r="P91" s="13" t="str">
        <x:v>装配数量；材料按子件领用</x:v>
      </x:c>
      <x:c r="Q91" s="13" t="str">
        <x:v>H25/H26厂家尺寸及W01孔位</x:v>
      </x:c>
      <x:c r="R91" s="13" t="str">
        <x:v>成品H25/H26替代R01机加工M01/M02/M03；装配计数不叠加采购子件。</x:v>
      </x:c>
    </x:row>
  </x:sheetData>
  <x:conditionalFormatting sqref="G8:G91">
    <x:cfRule type="containsBlanks" dxfId="0" priority="1"/>
  </x:conditionalFormatting>
  <x:conditionalFormatting sqref="O8:O91">
    <x:cfRule type="containsText" dxfId="1" priority="2" operator="containsText" text="待"/>
  </x:conditionalFormatting>
  <x:dataValidations count="1">
    <x:dataValidation type="whole" operator="greaterThanOrEqual" sqref="B4">
      <x:formula1>1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52b3eb29eb4a3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6" hidden="0" customWidth="1"/>
    <x:col min="3" max="3" width="10" hidden="0" customWidth="1"/>
    <x:col min="4" max="4" width="12" hidden="0" customWidth="1"/>
    <x:col min="5" max="5" width="42" hidden="0" customWidth="1"/>
    <x:col min="6" max="6" width="23" hidden="0" customWidth="1"/>
    <x:col min="7" max="7" width="64" hidden="0" customWidth="1"/>
    <x:col min="8" max="8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图纸目录</x:v>
      </x:c>
      <x:c r="B2" s="2"/>
      <x:c r="C2" s="2"/>
      <x:c r="D2" s="2"/>
      <x:c r="E2" s="2"/>
      <x:c r="F2" s="2"/>
      <x:c r="G2" s="2"/>
      <x:c r="H2" s="2"/>
    </x:row>
    <x:row r="3" ht="30" customHeight="1">
      <x:c r="A3" s="21" t="str">
        <x:v>HW73005-L2000　L2000体验桌　R03　尺寸单位 mm</x:v>
      </x:c>
      <x:c r="B3" s="4"/>
      <x:c r="C3" s="4"/>
      <x:c r="D3" s="4"/>
      <x:c r="E3" s="4"/>
      <x:c r="F3" s="4"/>
      <x:c r="G3" s="4"/>
      <x:c r="H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</x:row>
    <x:row r="5" ht="30" customHeight="1">
      <x:c r="A5" s="2" t="str">
        <x:v>PDF 页码指本次交付图纸文件内的页序；零件编号与清单、图号对应。</x:v>
      </x:c>
      <x:c r="B5" s="2"/>
      <x:c r="C5" s="2"/>
      <x:c r="D5" s="2"/>
      <x:c r="E5" s="2"/>
      <x:c r="F5" s="2"/>
      <x:c r="G5" s="2"/>
      <x:c r="H5" s="2"/>
    </x:row>
    <x:row r="6" ht="30" customHeight="1">
      <x:c r="A6" s="2"/>
      <x:c r="B6" s="2"/>
      <x:c r="C6" s="2"/>
      <x:c r="D6" s="2"/>
      <x:c r="E6" s="2"/>
      <x:c r="F6" s="2"/>
      <x:c r="G6" s="2"/>
      <x:c r="H6" s="2"/>
    </x:row>
    <x:row r="7" ht="32" customHeight="1">
      <x:c r="A7" s="9" t="str">
        <x:v>图号</x:v>
      </x:c>
      <x:c r="B7" s="10" t="str">
        <x:v>图纸名称</x:v>
      </x:c>
      <x:c r="C7" s="10" t="str">
        <x:v>PDF 页</x:v>
      </x:c>
      <x:c r="D7" s="10" t="str">
        <x:v>比例</x:v>
      </x:c>
      <x:c r="E7" s="10" t="str">
        <x:v>关联零件 / 总成</x:v>
      </x:c>
      <x:c r="F7" s="10" t="str">
        <x:v>状态</x:v>
      </x:c>
      <x:c r="G7" s="10" t="str">
        <x:v>内容说明</x:v>
      </x:c>
      <x:c r="H7" s="11" t="str">
        <x:v>依据</x:v>
      </x:c>
    </x:row>
    <x:row r="8" ht="54" hidden="0" customHeight="1">
      <x:c r="A8" s="14" t="str">
        <x:v>I01</x:v>
      </x:c>
      <x:c r="B8" s="14" t="str">
        <x:v>件号索引 · 总成与制作件</x:v>
      </x:c>
      <x:c r="C8" s="19" t="n">
        <x:v>1</x:v>
      </x:c>
      <x:c r="D8" s="14" t="str">
        <x:v>1:1</x:v>
      </x:c>
      <x:c r="E8" s="14" t="str">
        <x:v>A01、A04、A03、A05、W01、W02A、W02B、W03、W03A、W04B、W05、S01、S02、A07、S03A、S03B、S03C、S04、S07、S05、S06、A08、S08、S08A、S09A、S09B、S09C、S10A、S10B、S10C、S10D、S10E、A06</x:v>
      </x:c>
      <x:c r="F8" s="14" t="str">
        <x:v>件号双向索引</x:v>
      </x:c>
      <x:c r="G8" s="14" t="str"/>
      <x:c r="H8" s="14" t="str"/>
    </x:row>
    <x:row r="9" ht="42" hidden="0" customHeight="1">
      <x:c r="A9" s="13" t="str">
        <x:v>I02</x:v>
      </x:c>
      <x:c r="B9" s="13" t="str">
        <x:v>件号索引 · 成品五金</x:v>
      </x:c>
      <x:c r="C9" s="20" t="n">
        <x:v>2</x:v>
      </x:c>
      <x:c r="D9" s="13" t="str">
        <x:v>1:1</x:v>
      </x:c>
      <x:c r="E9" s="13" t="str">
        <x:v>H01、H02、H03、H04、H05、H06、H07、H09、H10、H11、H12、H13、H25、H26、H14、H15、H16、H17、H18、H19、H20、H21、B01、B03、H22、H23、H24</x:v>
      </x:c>
      <x:c r="F9" s="13" t="str">
        <x:v>件号双向索引</x:v>
      </x:c>
      <x:c r="G9" s="13" t="str"/>
      <x:c r="H9" s="13" t="str"/>
    </x:row>
    <x:row r="10" ht="42" hidden="0" customHeight="1">
      <x:c r="A10" s="14" t="str">
        <x:v>I03</x:v>
      </x:c>
      <x:c r="B10" s="14" t="str">
        <x:v>件号索引 · 电气与孔路线</x:v>
      </x:c>
      <x:c r="C10" s="19" t="n">
        <x:v>3</x:v>
      </x:c>
      <x:c r="D10" s="14" t="str">
        <x:v>1:1</x:v>
      </x:c>
      <x:c r="E10" s="14" t="str">
        <x:v>E01、E02、E03、E04、E05、E06、E07、E08、E09、E10、E11、E12、E13、E14、E15、E16、E17、E18、E19、E20、E21、E22、E23、E24</x:v>
      </x:c>
      <x:c r="F10" s="14" t="str">
        <x:v>件号双向索引</x:v>
      </x:c>
      <x:c r="G10" s="14" t="str"/>
      <x:c r="H10" s="14" t="str"/>
    </x:row>
    <x:row r="11" ht="36" hidden="0" customHeight="1">
      <x:c r="A11" s="13" t="str">
        <x:v>A01</x:v>
      </x:c>
      <x:c r="B11" s="13" t="str">
        <x:v>整桌总装 · 三视、基准与装配尺寸</x:v>
      </x:c>
      <x:c r="C11" s="20" t="n">
        <x:v>4</x:v>
      </x:c>
      <x:c r="D11" s="13" t="str">
        <x:v>1:10</x:v>
      </x:c>
      <x:c r="E11" s="13" t="str">
        <x:v>A01</x:v>
      </x:c>
      <x:c r="F11" s="13" t="str">
        <x:v>三视已绘</x:v>
      </x:c>
      <x:c r="G11" s="13" t="str">
        <x:v>整桌总装 · 三视、基准与装配尺寸</x:v>
      </x:c>
      <x:c r="H11" s="13" t="str">
        <x:v>顾客DWG SRC-02/03/04 + R02装配控制</x:v>
      </x:c>
    </x:row>
    <x:row r="12" ht="36" hidden="0" customHeight="1">
      <x:c r="A12" s="14" t="str">
        <x:v>A02</x:v>
      </x:c>
      <x:c r="B12" s="14" t="str">
        <x:v>整桌分层装配 · 先看各件在哪里</x:v>
      </x:c>
      <x:c r="C12" s="19" t="n">
        <x:v>5</x:v>
      </x:c>
      <x:c r="D12" s="14" t="str">
        <x:v>轴测示意</x:v>
      </x:c>
      <x:c r="E12" s="14" t="str">
        <x:v>S01、S02、S03A、S04、S05、S07、S08A、S10A、S10B、W01、W02A、W02B、W03、W03A、W04B、W05</x:v>
      </x:c>
      <x:c r="F12" s="14" t="str">
        <x:v>同源三维装配定位</x:v>
      </x:c>
      <x:c r="G12" s="14" t="str"/>
      <x:c r="H12" s="14" t="str"/>
    </x:row>
    <x:row r="13" ht="36" hidden="0" customHeight="1">
      <x:c r="A13" s="13" t="str">
        <x:v>V02</x:v>
      </x:c>
      <x:c r="B13" s="13" t="str">
        <x:v>桌面组件 · 翻盖与过线口</x:v>
      </x:c>
      <x:c r="C13" s="20" t="n">
        <x:v>6</x:v>
      </x:c>
      <x:c r="D13" s="13" t="str">
        <x:v>轴测示意</x:v>
      </x:c>
      <x:c r="E13" s="13" t="str">
        <x:v>B01、B03、H07、H25、H26、W01、W02A、W02B</x:v>
      </x:c>
      <x:c r="F13" s="13" t="str">
        <x:v>同源三维装配定位</x:v>
      </x:c>
      <x:c r="G13" s="13" t="str"/>
      <x:c r="H13" s="13" t="str"/>
    </x:row>
    <x:row r="14" ht="36" hidden="0" customHeight="1">
      <x:c r="A14" s="14" t="str">
        <x:v>V10</x:v>
      </x:c>
      <x:c r="B14" s="14" t="str">
        <x:v>木盒组件 · 出线口、承托角与盒底</x:v>
      </x:c>
      <x:c r="C14" s="19" t="n">
        <x:v>7</x:v>
      </x:c>
      <x:c r="D14" s="14" t="str">
        <x:v>轴测示意</x:v>
      </x:c>
      <x:c r="E14" s="14" t="str">
        <x:v>H06、H19、H20、H21、W03、W03A、W04B、W05</x:v>
      </x:c>
      <x:c r="F14" s="14" t="str">
        <x:v>同源三维装配定位</x:v>
      </x:c>
      <x:c r="G14" s="14" t="str"/>
      <x:c r="H14" s="14" t="str"/>
    </x:row>
    <x:row r="15" ht="36" hidden="0" customHeight="1">
      <x:c r="A15" s="13" t="str">
        <x:v>V03</x:v>
      </x:c>
      <x:c r="B15" s="13" t="str">
        <x:v>钢架组件 · 梁、固定耳与四只桌腿</x:v>
      </x:c>
      <x:c r="C15" s="20" t="n">
        <x:v>8</x:v>
      </x:c>
      <x:c r="D15" s="13" t="str">
        <x:v>轴测示意</x:v>
      </x:c>
      <x:c r="E15" s="13" t="str">
        <x:v>S01、S02、S03A、S03B、S03C、S05、S06、S08A、S09A、S09B、S09C</x:v>
      </x:c>
      <x:c r="F15" s="13" t="str">
        <x:v>同源三维装配定位</x:v>
      </x:c>
      <x:c r="G15" s="13" t="str"/>
      <x:c r="H15" s="13" t="str"/>
    </x:row>
    <x:row r="16" ht="36" hidden="0" customHeight="1">
      <x:c r="A16" s="14" t="str">
        <x:v>V04</x:v>
      </x:c>
      <x:c r="B16" s="14" t="str">
        <x:v>检修组件 · 门盖与中央下放组件</x:v>
      </x:c>
      <x:c r="C16" s="19" t="n">
        <x:v>9</x:v>
      </x:c>
      <x:c r="D16" s="14" t="str">
        <x:v>轴测示意</x:v>
      </x:c>
      <x:c r="E16" s="14" t="str">
        <x:v>H03、H04、H13、H14、H23、H24、S04、S07、S10A、S10B、S10C、S10D、S10E</x:v>
      </x:c>
      <x:c r="F16" s="14" t="str">
        <x:v>同源三维装配定位</x:v>
      </x:c>
      <x:c r="G16" s="14" t="str"/>
      <x:c r="H16" s="14" t="str"/>
    </x:row>
    <x:row r="17" ht="36" hidden="0" customHeight="1">
      <x:c r="A17" s="13" t="str">
        <x:v>V05</x:v>
      </x:c>
      <x:c r="B17" s="13" t="str">
        <x:v>连接五金 · 四类局部安装</x:v>
      </x:c>
      <x:c r="C17" s="20" t="n">
        <x:v>10</x:v>
      </x:c>
      <x:c r="D17" s="13" t="str">
        <x:v>局部轴测示意</x:v>
      </x:c>
      <x:c r="E17" s="13" t="str">
        <x:v>H09、H10、H11、H15、H16、H17、H18、H19、H20、H21、H22、S05、S09A、S09B、S09C、W01、W04B</x:v>
      </x:c>
      <x:c r="F17" s="13" t="str">
        <x:v>同源模型局部安装</x:v>
      </x:c>
      <x:c r="G17" s="13" t="str"/>
      <x:c r="H17" s="13" t="str"/>
    </x:row>
    <x:row r="18" ht="36" hidden="0" customHeight="1">
      <x:c r="A18" s="14" t="str">
        <x:v>V06</x:v>
      </x:c>
      <x:c r="B18" s="14" t="str">
        <x:v>电器位置 · 钢架内安装位置</x:v>
      </x:c>
      <x:c r="C18" s="19" t="n">
        <x:v>11</x:v>
      </x:c>
      <x:c r="D18" s="14" t="str">
        <x:v>轴测示意</x:v>
      </x:c>
      <x:c r="E18" s="14" t="str">
        <x:v>E01、E02、E03、E07、E08、E09、S01、S02、S04、S05、S08A</x:v>
      </x:c>
      <x:c r="F18" s="14" t="str">
        <x:v>同源三维装配定位</x:v>
      </x:c>
      <x:c r="G18" s="14" t="str"/>
      <x:c r="H18" s="14" t="str"/>
    </x:row>
    <x:row r="19" ht="36" hidden="0" customHeight="1">
      <x:c r="A19" s="13" t="str">
        <x:v>V07</x:v>
      </x:c>
      <x:c r="B19" s="13" t="str">
        <x:v>门与脚五金 · 四类局部安装</x:v>
      </x:c>
      <x:c r="C19" s="20" t="n">
        <x:v>12</x:v>
      </x:c>
      <x:c r="D19" s="13" t="str">
        <x:v>局部轴测示意</x:v>
      </x:c>
      <x:c r="E19" s="13" t="str">
        <x:v>E02、H01、H02、H03、H04、H05、H12、S03C、S04、S07、S10E</x:v>
      </x:c>
      <x:c r="F19" s="13" t="str">
        <x:v>同源模型局部安装</x:v>
      </x:c>
      <x:c r="G19" s="13" t="str"/>
      <x:c r="H19" s="13" t="str"/>
    </x:row>
    <x:row r="20" ht="36" hidden="0" customHeight="1">
      <x:c r="A20" s="14" t="str">
        <x:v>V08</x:v>
      </x:c>
      <x:c r="B20" s="14" t="str">
        <x:v>分线盒内部 · 从下方看接线操作面</x:v>
      </x:c>
      <x:c r="C20" s="19" t="n">
        <x:v>13</x:v>
      </x:c>
      <x:c r="D20" s="14" t="str">
        <x:v>轴测示意</x:v>
      </x:c>
      <x:c r="E20" s="14" t="str">
        <x:v>E06、E07、E11、E12、E13、E14、E15</x:v>
      </x:c>
      <x:c r="F20" s="14" t="str">
        <x:v>同源三维装配定位</x:v>
      </x:c>
      <x:c r="G20" s="14" t="str"/>
      <x:c r="H20" s="14" t="str"/>
    </x:row>
    <x:row r="21" ht="36" hidden="0" customHeight="1">
      <x:c r="A21" s="13" t="str">
        <x:v>V09</x:v>
      </x:c>
      <x:c r="B21" s="13" t="str">
        <x:v>电气连接件 · 入口与接地局部</x:v>
      </x:c>
      <x:c r="C21" s="20" t="n">
        <x:v>14</x:v>
      </x:c>
      <x:c r="D21" s="13" t="str">
        <x:v>局部轴测示意</x:v>
      </x:c>
      <x:c r="E21" s="13" t="str">
        <x:v>E09、E10、E16、E17、E18、E19、E20、E22、E23、E24、S04、S08A、S10A、S10B</x:v>
      </x:c>
      <x:c r="F21" s="13" t="str">
        <x:v>同源模型局部安装</x:v>
      </x:c>
      <x:c r="G21" s="13" t="str"/>
      <x:c r="H21" s="13" t="str"/>
    </x:row>
    <x:row r="22" ht="36" hidden="0" customHeight="1">
      <x:c r="A22" s="14" t="str">
        <x:v>D01</x:v>
      </x:c>
      <x:c r="B22" s="14" t="str">
        <x:v>D01 桌面可拆固定 · M6嵌件节点、工具柱及拆卸顺序</x:v>
      </x:c>
      <x:c r="C22" s="19" t="n">
        <x:v>15</x:v>
      </x:c>
      <x:c r="D22" s="14" t="str">
        <x:v>2:1</x:v>
      </x:c>
      <x:c r="E22" s="14" t="str">
        <x:v>W01、S09B、H09</x:v>
      </x:c>
      <x:c r="F22" s="14" t="str">
        <x:v>三视与检修路径已绘；未经承载验算或生产放行</x:v>
      </x:c>
      <x:c r="G22" s="14" t="str">
        <x:v>真实厚度链、嵌件盲孔控制与完整桌面拆卸动作</x:v>
      </x:c>
      <x:c r="H22" s="14" t="str">
        <x:v>R02用户要求；保留R01外包、C筋与承托盒；新增服务结构</x:v>
      </x:c>
    </x:row>
    <x:row r="23" ht="36" hidden="0" customHeight="1">
      <x:c r="A23" s="13" t="str">
        <x:v>S10F</x:v>
      </x:c>
      <x:c r="B23" s="13" t="str">
        <x:v>S10F 中央检修服务位 · 成品索长度、独立锚点及实体行程</x:v>
      </x:c>
      <x:c r="C23" s="20" t="n">
        <x:v>16</x:v>
      </x:c>
      <x:c r="D23" s="13" t="str">
        <x:v>1:3</x:v>
      </x:c>
      <x:c r="E23" s="13" t="str">
        <x:v>S10A、S10B、S10C、H23、H24</x:v>
      </x:c>
      <x:c r="F23" s="13" t="str">
        <x:v>三视与检修路径已绘；未经承载验算或生产放行</x:v>
      </x:c>
      <x:c r="G23" s="13" t="str">
        <x:v>闭合/服务实体位置与成品双端片索的三维长度闭合</x:v>
      </x:c>
      <x:c r="H23" s="13" t="str">
        <x:v>R02用户要求；保留R01外包、C筋与承托盒；新增服务结构</x:v>
      </x:c>
    </x:row>
    <x:row r="24" ht="36" hidden="0" customHeight="1">
      <x:c r="A24" s="14" t="str">
        <x:v>A04</x:v>
      </x:c>
      <x:c r="B24" s="14" t="str">
        <x:v>钢结构总成 · 底视布置、三视与焊接</x:v>
      </x:c>
      <x:c r="C24" s="19" t="n">
        <x:v>17</x:v>
      </x:c>
      <x:c r="D24" s="14" t="str">
        <x:v>1:10</x:v>
      </x:c>
      <x:c r="E24" s="14" t="str">
        <x:v>A04</x:v>
      </x:c>
      <x:c r="F24" s="14" t="str">
        <x:v>三视已绘</x:v>
      </x:c>
      <x:c r="G24" s="14" t="str">
        <x:v>钢结构总成 · 底视布置、三视与焊接</x:v>
      </x:c>
      <x:c r="H24" s="14" t="str">
        <x:v>顾客DWG SRC-02/03/04 + R02装配控制</x:v>
      </x:c>
    </x:row>
    <x:row r="25" ht="36" hidden="0" customHeight="1">
      <x:c r="A25" s="13" t="str">
        <x:v>A03</x:v>
      </x:c>
      <x:c r="B25" s="13" t="str">
        <x:v>桌面与翻盖总成｜孔位、毛刷及护口布置</x:v>
      </x:c>
      <x:c r="C25" s="20" t="n">
        <x:v>18</x:v>
      </x:c>
      <x:c r="D25" s="13" t="str">
        <x:v>1:10</x:v>
      </x:c>
      <x:c r="E25" s="13" t="str">
        <x:v>A03</x:v>
      </x:c>
      <x:c r="F25" s="13" t="str">
        <x:v>成型三视已绘；配孔及装配按页内说明</x:v>
      </x:c>
      <x:c r="G25" s="13" t="str">
        <x:v>桌面与翻盖总成｜孔位、毛刷及护口布置</x:v>
      </x:c>
      <x:c r="H25" s="13" t="str">
        <x:v>原图总装顶视及D节点；R02成品五金与可拆固定修订</x:v>
      </x:c>
    </x:row>
    <x:row r="26" ht="36" hidden="0" customHeight="1">
      <x:c r="A26" s="14" t="str">
        <x:v>A05</x:v>
      </x:c>
      <x:c r="B26" s="14" t="str">
        <x:v>承托盒总成｜长侧出线、短侧固定</x:v>
      </x:c>
      <x:c r="C26" s="19" t="n">
        <x:v>19</x:v>
      </x:c>
      <x:c r="D26" s="14" t="str">
        <x:v>1:2</x:v>
      </x:c>
      <x:c r="E26" s="14" t="str">
        <x:v>A05</x:v>
      </x:c>
      <x:c r="F26" s="14" t="str">
        <x:v>成型三视已绘；配孔及装配按页内说明</x:v>
      </x:c>
      <x:c r="G26" s="14" t="str">
        <x:v>承托盒总成｜长侧出线、短侧固定</x:v>
      </x:c>
      <x:c r="H26" s="14" t="str">
        <x:v>原图总装顶视及D节点；R02成品五金与可拆固定修订</x:v>
      </x:c>
    </x:row>
    <x:row r="27" ht="36" hidden="0" customHeight="1">
      <x:c r="A27" s="13" t="str">
        <x:v>W01</x:v>
      </x:c>
      <x:c r="B27" s="13" t="str">
        <x:v>W01 桌面成品板｜实际切口与封边控制</x:v>
      </x:c>
      <x:c r="C27" s="20" t="n">
        <x:v>20</x:v>
      </x:c>
      <x:c r="D27" s="13" t="str">
        <x:v>1:10</x:v>
      </x:c>
      <x:c r="E27" s="13" t="str">
        <x:v>W01</x:v>
      </x:c>
      <x:c r="F27" s="13" t="str">
        <x:v>成型三视已绘；配孔及装配按页内说明</x:v>
      </x:c>
      <x:c r="G27" s="13" t="str">
        <x:v>W01 桌面成品板｜实际切口与封边控制</x:v>
      </x:c>
      <x:c r="H27" s="13" t="str">
        <x:v>原图总装顶视及D节点；R02成品五金与可拆固定修订</x:v>
      </x:c>
    </x:row>
    <x:row r="28" ht="36" hidden="0" customHeight="1">
      <x:c r="A28" s="14" t="str">
        <x:v>W02</x:v>
      </x:c>
      <x:c r="B28" s="14" t="str">
        <x:v>W02A / W02B 翻盖板｜有槽与实板配对</x:v>
      </x:c>
      <x:c r="C28" s="19" t="n">
        <x:v>21</x:v>
      </x:c>
      <x:c r="D28" s="14" t="str">
        <x:v>1:2</x:v>
      </x:c>
      <x:c r="E28" s="14" t="str">
        <x:v>W02A、W02B</x:v>
      </x:c>
      <x:c r="F28" s="14" t="str">
        <x:v>成型三视已绘；配孔及装配按页内说明</x:v>
      </x:c>
      <x:c r="G28" s="14" t="str">
        <x:v>W02A / W02B 翻盖板｜有槽与实板配对</x:v>
      </x:c>
      <x:c r="H28" s="14" t="str">
        <x:v>原图总装顶视及D节点；R02成品五金与可拆固定修订</x:v>
      </x:c>
    </x:row>
    <x:row r="29" ht="36" hidden="0" customHeight="1">
      <x:c r="A29" s="13" t="str">
        <x:v>W03</x:v>
      </x:c>
      <x:c r="B29" s="13" t="str">
        <x:v>W03 / W03A 承托盒长侧板｜无孔与有孔</x:v>
      </x:c>
      <x:c r="C29" s="20" t="n">
        <x:v>22</x:v>
      </x:c>
      <x:c r="D29" s="13" t="str">
        <x:v>1:2</x:v>
      </x:c>
      <x:c r="E29" s="13" t="str">
        <x:v>W03、W03A</x:v>
      </x:c>
      <x:c r="F29" s="13" t="str">
        <x:v>成型三视已绘；配孔及装配按页内说明</x:v>
      </x:c>
      <x:c r="G29" s="13" t="str">
        <x:v>W03 / W03A 承托盒长侧板｜无孔与有孔</x:v>
      </x:c>
      <x:c r="H29" s="13" t="str">
        <x:v>原图总装顶视及D节点；R02成品五金与可拆固定修订</x:v>
      </x:c>
    </x:row>
    <x:row r="30" ht="36" hidden="0" customHeight="1">
      <x:c r="A30" s="14" t="str">
        <x:v>W04</x:v>
      </x:c>
      <x:c r="B30" s="14" t="str">
        <x:v>W04B 承托盒短侧板｜固定孔与承托预孔</x:v>
      </x:c>
      <x:c r="C30" s="19" t="n">
        <x:v>23</x:v>
      </x:c>
      <x:c r="D30" s="14" t="str">
        <x:v>1:2</x:v>
      </x:c>
      <x:c r="E30" s="14" t="str">
        <x:v>W04B</x:v>
      </x:c>
      <x:c r="F30" s="14" t="str">
        <x:v>成型三视已绘；配孔及装配按页内说明</x:v>
      </x:c>
      <x:c r="G30" s="14" t="str">
        <x:v>W04B 承托盒短侧板｜固定孔与承托预孔</x:v>
      </x:c>
      <x:c r="H30" s="14" t="str">
        <x:v>原图总装顶视及D节点；R02成品五金与可拆固定修订</x:v>
      </x:c>
    </x:row>
    <x:row r="31" ht="36" hidden="0" customHeight="1">
      <x:c r="A31" s="13" t="str">
        <x:v>W05</x:v>
      </x:c>
      <x:c r="B31" s="13" t="str">
        <x:v>W05 承托盒底板｜托底构造与三视</x:v>
      </x:c>
      <x:c r="C31" s="20" t="n">
        <x:v>24</x:v>
      </x:c>
      <x:c r="D31" s="13" t="str">
        <x:v>1:2</x:v>
      </x:c>
      <x:c r="E31" s="13" t="str">
        <x:v>W05</x:v>
      </x:c>
      <x:c r="F31" s="13" t="str">
        <x:v>成型三视已绘；配孔及装配按页内说明</x:v>
      </x:c>
      <x:c r="G31" s="13" t="str">
        <x:v>W05 承托盒底板｜托底构造与三视</x:v>
      </x:c>
      <x:c r="H31" s="13" t="str">
        <x:v>原图总装顶视及D节点；R02成品五金与可拆固定修订</x:v>
      </x:c>
    </x:row>
    <x:row r="32" ht="36" hidden="0" customHeight="1">
      <x:c r="A32" s="14" t="str">
        <x:v>D02</x:v>
      </x:c>
      <x:c r="B32" s="14" t="str">
        <x:v>翻盖与成品毛刷安装 · 顶装桶铰链、承托及分段</x:v>
      </x:c>
      <x:c r="C32" s="19" t="n">
        <x:v>25</x:v>
      </x:c>
      <x:c r="D32" s="14" t="str">
        <x:v>1:1</x:v>
      </x:c>
      <x:c r="E32" s="14" t="str">
        <x:v>W01、W02A、W02B</x:v>
      </x:c>
      <x:c r="F32" s="14" t="str">
        <x:v>成型三视已绘；配孔及装配按页内说明</x:v>
      </x:c>
      <x:c r="G32" s="14" t="str">
        <x:v>翻盖与成品毛刷安装 · 顶装桶铰链、承托及分段</x:v>
      </x:c>
      <x:c r="H32" s="14" t="str">
        <x:v>原图总装顶视及D节点；R02成品五金与可拆固定修订</x:v>
      </x:c>
    </x:row>
    <x:row r="33" ht="36" hidden="0" customHeight="1">
      <x:c r="A33" s="13" t="str">
        <x:v>S01</x:v>
      </x:c>
      <x:c r="B33" s="13" t="str">
        <x:v>长边斜腹板 · 成型与端部放样</x:v>
      </x:c>
      <x:c r="C33" s="20" t="n">
        <x:v>26</x:v>
      </x:c>
      <x:c r="D33" s="13" t="str">
        <x:v>1:10</x:v>
      </x:c>
      <x:c r="E33" s="13" t="str">
        <x:v>S01</x:v>
      </x:c>
      <x:c r="F33" s="13" t="str">
        <x:v>已绘成型尺寸及工艺说明</x:v>
      </x:c>
      <x:c r="G33" s="13" t="str">
        <x:v>长边斜腹板 · 成型与端部放样</x:v>
      </x:c>
      <x:c r="H33" s="13" t="str">
        <x:v>顾客DWG SRC-02/03/04；R01深化</x:v>
      </x:c>
    </x:row>
    <x:row r="34" ht="36" hidden="0" customHeight="1">
      <x:c r="A34" s="14" t="str">
        <x:v>S02</x:v>
      </x:c>
      <x:c r="B34" s="14" t="str">
        <x:v>短边斜腹板 · 成型与端部放样</x:v>
      </x:c>
      <x:c r="C34" s="19" t="n">
        <x:v>27</x:v>
      </x:c>
      <x:c r="D34" s="14" t="str">
        <x:v>1:5</x:v>
      </x:c>
      <x:c r="E34" s="14" t="str">
        <x:v>S02</x:v>
      </x:c>
      <x:c r="F34" s="14" t="str">
        <x:v>已绘成型尺寸及工艺说明</x:v>
      </x:c>
      <x:c r="G34" s="14" t="str">
        <x:v>短边斜腹板 · 成型与端部放样</x:v>
      </x:c>
      <x:c r="H34" s="14" t="str">
        <x:v>顾客DWG SRC-02/03/04；R01深化</x:v>
      </x:c>
    </x:row>
    <x:row r="35" ht="36" hidden="0" customHeight="1">
      <x:c r="A35" s="13" t="str">
        <x:v>A07</x:v>
      </x:c>
      <x:c r="B35" s="13" t="str">
        <x:v>刀形桌腿总成 · 分缝与成品脚件</x:v>
      </x:c>
      <x:c r="C35" s="20" t="n">
        <x:v>28</x:v>
      </x:c>
      <x:c r="D35" s="13" t="str">
        <x:v>1:5</x:v>
      </x:c>
      <x:c r="E35" s="13" t="str">
        <x:v>A07</x:v>
      </x:c>
      <x:c r="F35" s="13" t="str">
        <x:v>已绘成型尺寸及工艺说明</x:v>
      </x:c>
      <x:c r="G35" s="13" t="str">
        <x:v>刀形桌腿总成 · 分缝与成品脚件</x:v>
      </x:c>
      <x:c r="H35" s="13" t="str">
        <x:v>顾客DWG SRC-02/03/04；R01深化</x:v>
      </x:c>
    </x:row>
    <x:row r="36" ht="36" hidden="0" customHeight="1">
      <x:c r="A36" s="14" t="str">
        <x:v>S03A</x:v>
      </x:c>
      <x:c r="B36" s="14" t="str">
        <x:v>刀形腿壳 · 成型三视与焊缝</x:v>
      </x:c>
      <x:c r="C36" s="19" t="n">
        <x:v>29</x:v>
      </x:c>
      <x:c r="D36" s="14" t="str">
        <x:v>1:5</x:v>
      </x:c>
      <x:c r="E36" s="14" t="str">
        <x:v>S03A</x:v>
      </x:c>
      <x:c r="F36" s="14" t="str">
        <x:v>已绘成型尺寸及工艺说明</x:v>
      </x:c>
      <x:c r="G36" s="14" t="str">
        <x:v>刀形腿壳 · 成型三视与焊缝</x:v>
      </x:c>
      <x:c r="H36" s="14" t="str">
        <x:v>顾客DWG SRC-02/03/04；R01深化</x:v>
      </x:c>
    </x:row>
    <x:row r="37" ht="36" hidden="0" customHeight="1">
      <x:c r="A37" s="13" t="str">
        <x:v>S03BC</x:v>
      </x:c>
      <x:c r="B37" s="13" t="str">
        <x:v>刀形腿封板 · 内端板与底封板</x:v>
      </x:c>
      <x:c r="C37" s="20" t="n">
        <x:v>30</x:v>
      </x:c>
      <x:c r="D37" s="13" t="str">
        <x:v>1:5</x:v>
      </x:c>
      <x:c r="E37" s="13" t="str">
        <x:v>S03B、S03C</x:v>
      </x:c>
      <x:c r="F37" s="13" t="str">
        <x:v>已绘成型尺寸及工艺说明</x:v>
      </x:c>
      <x:c r="G37" s="13" t="str">
        <x:v>刀形腿封板 · 内端板与底封板</x:v>
      </x:c>
      <x:c r="H37" s="13" t="str">
        <x:v>顾客DWG SRC-02/03/04；R01深化</x:v>
      </x:c>
    </x:row>
    <x:row r="38" ht="36" hidden="0" customHeight="1">
      <x:c r="A38" s="14" t="str">
        <x:v>S04</x:v>
      </x:c>
      <x:c r="B38" s="14" t="str">
        <x:v>桌肚底盘 · 折边、检修口与定位</x:v>
      </x:c>
      <x:c r="C38" s="19" t="n">
        <x:v>31</x:v>
      </x:c>
      <x:c r="D38" s="14" t="str">
        <x:v>1:10</x:v>
      </x:c>
      <x:c r="E38" s="14" t="str">
        <x:v>S04</x:v>
      </x:c>
      <x:c r="F38" s="14" t="str">
        <x:v>已绘成型尺寸及工艺说明</x:v>
      </x:c>
      <x:c r="G38" s="14" t="str">
        <x:v>桌肚底盘 · 折边、检修口与定位</x:v>
      </x:c>
      <x:c r="H38" s="14" t="str">
        <x:v>顾客DWG SRC-02/03/04；R01深化</x:v>
      </x:c>
    </x:row>
    <x:row r="39" ht="36" hidden="0" customHeight="1">
      <x:c r="A39" s="13" t="str">
        <x:v>S07</x:v>
      </x:c>
      <x:c r="B39" s="13" t="str">
        <x:v>检修门 · 门缝、铰链与排插固定</x:v>
      </x:c>
      <x:c r="C39" s="20" t="n">
        <x:v>32</x:v>
      </x:c>
      <x:c r="D39" s="13" t="str">
        <x:v>1:5</x:v>
      </x:c>
      <x:c r="E39" s="13" t="str">
        <x:v>S07</x:v>
      </x:c>
      <x:c r="F39" s="13" t="str">
        <x:v>已绘成型尺寸及工艺说明</x:v>
      </x:c>
      <x:c r="G39" s="13" t="str">
        <x:v>检修门 · 门缝、铰链与排插固定</x:v>
      </x:c>
      <x:c r="H39" s="13" t="str">
        <x:v>顾客DWG SRC-02/03/04；R01深化</x:v>
      </x:c>
    </x:row>
    <x:row r="40" ht="36" hidden="0" customHeight="1">
      <x:c r="A40" s="14" t="str">
        <x:v>S05</x:v>
      </x:c>
      <x:c r="B40" s="14" t="str">
        <x:v>S05  长向 C 型加强筋成型制作</x:v>
      </x:c>
      <x:c r="C40" s="19" t="n">
        <x:v>33</x:v>
      </x:c>
      <x:c r="D40" s="14" t="str">
        <x:v>1:5</x:v>
      </x:c>
      <x:c r="E40" s="14" t="str">
        <x:v>S05</x:v>
      </x:c>
      <x:c r="F40" s="14" t="str">
        <x:v>成型已绘；干涉按同版腹板已消除；试装与折弯展开待核</x:v>
      </x:c>
      <x:c r="G40" s="14" t="str">
        <x:v>长向C筋成型三视、原端部斜切控制与安装横截面；T2、30×97、唇13、净430。</x:v>
      </x:c>
      <x:c r="H40" s="14" t="str">
        <x:v>源BV-BV 0x7EC7..0x7EF2；D节点0x84A2..0x84D5；R01包络与筋距统一</x:v>
      </x:c>
    </x:row>
    <x:row r="41" ht="36" hidden="0" customHeight="1">
      <x:c r="A41" s="13" t="str">
        <x:v>S06</x:v>
      </x:c>
      <x:c r="B41" s="13" t="str">
        <x:v>S06  U 型卡槽成型制作与安装</x:v>
      </x:c>
      <x:c r="C41" s="20" t="n">
        <x:v>34</x:v>
      </x:c>
      <x:c r="D41" s="13" t="str">
        <x:v>1:1</x:v>
      </x:c>
      <x:c r="E41" s="13" t="str">
        <x:v>S06</x:v>
      </x:c>
      <x:c r="F41" s="13" t="str">
        <x:v>成型已绘；试卡与折弯展开待核</x:v>
      </x:c>
      <x:c r="G41" s="13" t="str">
        <x:v>U槽成型三视与口沿截面；真实底宽25、喉口18、高20，外翻唇单独表达。</x:v>
      </x:c>
      <x:c r="H41" s="13" t="str">
        <x:v>源U型卡槽0xD353..0xD35F及18/20/25/100标注；R01按T1归整</x:v>
      </x:c>
    </x:row>
    <x:row r="42" ht="36" hidden="0" customHeight="1">
      <x:c r="A42" s="14" t="str">
        <x:v>A08</x:v>
      </x:c>
      <x:c r="B42" s="14" t="str">
        <x:v>内部加强与检修 · 八点拆面、横向框架及接近通道</x:v>
      </x:c>
      <x:c r="C42" s="19" t="n">
        <x:v>35</x:v>
      </x:c>
      <x:c r="D42" s="14" t="str">
        <x:v>1:10</x:v>
      </x:c>
      <x:c r="E42" s="14" t="str">
        <x:v>A08</x:v>
      </x:c>
      <x:c r="F42" s="14" t="str">
        <x:v>三视与检修路径已绘；未经承载验算或生产放行</x:v>
      </x:c>
      <x:c r="G42" s="14" t="str">
        <x:v>原结构内补横向框架、可达八点拆面与中央检修路径</x:v>
      </x:c>
      <x:c r="H42" s="14" t="str">
        <x:v>R02用户要求；保留R01外包、C筋与承托盒；新增服务结构</x:v>
      </x:c>
    </x:row>
    <x:row r="43" ht="36" hidden="0" customHeight="1">
      <x:c r="A43" s="13" t="str">
        <x:v>S08</x:v>
      </x:c>
      <x:c r="B43" s="13" t="str">
        <x:v>S08 可拆横梁总成 / S08A 矩管身 · 成型三视与端接口</x:v>
      </x:c>
      <x:c r="C43" s="20" t="n">
        <x:v>36</x:v>
      </x:c>
      <x:c r="D43" s="13" t="str">
        <x:v>1:2</x:v>
      </x:c>
      <x:c r="E43" s="13" t="str">
        <x:v>S08、S08A</x:v>
      </x:c>
      <x:c r="F43" s="13" t="str">
        <x:v>三视与检修路径已绘；未经承载验算或生产放行</x:v>
      </x:c>
      <x:c r="G43" s="13" t="str">
        <x:v>可拆横梁及管身三视、长度链和C腔连接坐标</x:v>
      </x:c>
      <x:c r="H43" s="13" t="str">
        <x:v>R02用户要求；保留R01外包、C筋与承托盒；新增服务结构</x:v>
      </x:c>
    </x:row>
    <x:row r="44" ht="36" hidden="0" customHeight="1">
      <x:c r="A44" s="14" t="str">
        <x:v>S09A</x:v>
      </x:c>
      <x:c r="B44" s="14" t="str">
        <x:v>S09A 横梁端板 · 焊母接口及C腹板连接</x:v>
      </x:c>
      <x:c r="C44" s="19" t="n">
        <x:v>37</x:v>
      </x:c>
      <x:c r="D44" s="14" t="str">
        <x:v>1:1</x:v>
      </x:c>
      <x:c r="E44" s="14" t="str">
        <x:v>S09A</x:v>
      </x:c>
      <x:c r="F44" s="14" t="str">
        <x:v>三视与检修路径已绘；未经承载验算或生产放行</x:v>
      </x:c>
      <x:c r="G44" s="14" t="str">
        <x:v>端板真实三视、两孔定位与焊母先装顺序</x:v>
      </x:c>
      <x:c r="H44" s="14" t="str">
        <x:v>R02用户要求；保留R01外包、C筋与承托盒；新增服务结构</x:v>
      </x:c>
    </x:row>
    <x:row r="45" ht="36" hidden="0" customHeight="1">
      <x:c r="A45" s="13" t="str">
        <x:v>S09B</x:v>
      </x:c>
      <x:c r="B45" s="13" t="str">
        <x:v>S09B 桌面固定耳 · 原检修口上方八点可拆接口</x:v>
      </x:c>
      <x:c r="C45" s="20" t="n">
        <x:v>38</x:v>
      </x:c>
      <x:c r="D45" s="13" t="str">
        <x:v>1:1</x:v>
      </x:c>
      <x:c r="E45" s="13" t="str">
        <x:v>S09B</x:v>
      </x:c>
      <x:c r="F45" s="13" t="str">
        <x:v>三视与检修路径已绘；未经承载验算或生产放行</x:v>
      </x:c>
      <x:c r="G45" s="13" t="str">
        <x:v>八点固定耳三视与实际工具入口位置</x:v>
      </x:c>
      <x:c r="H45" s="13" t="str">
        <x:v>R02用户要求；保留R01外包、C筋与承托盒；新增服务结构</x:v>
      </x:c>
    </x:row>
    <x:row r="46" ht="36" hidden="0" customHeight="1">
      <x:c r="A46" s="14" t="str">
        <x:v>S09C</x:v>
      </x:c>
      <x:c r="B46" s="14" t="str">
        <x:v>S09C 承托盒抱角 · 盒固定在钢架且可拆</x:v>
      </x:c>
      <x:c r="C46" s="19" t="n">
        <x:v>39</x:v>
      </x:c>
      <x:c r="D46" s="14" t="str">
        <x:v>1:1</x:v>
      </x:c>
      <x:c r="E46" s="14" t="str">
        <x:v>S09C</x:v>
      </x:c>
      <x:c r="F46" s="14" t="str">
        <x:v>三视与检修路径已绘；未经承载验算或生产放行</x:v>
      </x:c>
      <x:c r="G46" s="14" t="str">
        <x:v>左右抱角分别三视、底托和水平紧固孔坐标</x:v>
      </x:c>
      <x:c r="H46" s="14" t="str">
        <x:v>R02用户要求；保留R01外包、C筋与承托盒；新增服务结构</x:v>
      </x:c>
    </x:row>
    <x:row r="47" ht="36" hidden="0" customHeight="1">
      <x:c r="A47" s="13" t="str">
        <x:v>S10</x:v>
      </x:c>
      <x:c r="B47" s="13" t="str">
        <x:v>S10 中央检修盖与吊检修板 · 三视、支承及防坠</x:v>
      </x:c>
      <x:c r="C47" s="20" t="n">
        <x:v>40</x:v>
      </x:c>
      <x:c r="D47" s="13" t="str">
        <x:v>1:2</x:v>
      </x:c>
      <x:c r="E47" s="13" t="str">
        <x:v>S10A、S10B</x:v>
      </x:c>
      <x:c r="F47" s="13" t="str">
        <x:v>三视与检修路径已绘；未经承载验算或生产放行</x:v>
      </x:c>
      <x:c r="G47" s="13" t="str">
        <x:v>中央盖与载盒检修板分别三视；明确实际支承和下放动作</x:v>
      </x:c>
      <x:c r="H47" s="13" t="str">
        <x:v>R02用户要求；保留R01外包、C筋与承托盒；新增服务结构</x:v>
      </x:c>
    </x:row>
    <x:row r="48" ht="36" hidden="0" customHeight="1">
      <x:c r="A48" s="14" t="str">
        <x:v>S10C</x:v>
      </x:c>
      <x:c r="B48" s="14" t="str">
        <x:v>S10C 检修板悬臂 · 左右转向装配、焊母及防坠锚点</x:v>
      </x:c>
      <x:c r="C48" s="19" t="n">
        <x:v>41</x:v>
      </x:c>
      <x:c r="D48" s="14" t="str">
        <x:v>1:1</x:v>
      </x:c>
      <x:c r="E48" s="14" t="str">
        <x:v>S10C</x:v>
      </x:c>
      <x:c r="F48" s="14" t="str">
        <x:v>三视与检修路径已绘；未经承载验算或生产放行</x:v>
      </x:c>
      <x:c r="G48" s="14" t="str">
        <x:v>悬臂三视、四处实体支承与下放吊线锚点</x:v>
      </x:c>
      <x:c r="H48" s="14" t="str">
        <x:v>R02用户要求；保留R01外包、C筋与承托盒；新增服务结构</x:v>
      </x:c>
    </x:row>
    <x:row r="49" ht="36" hidden="0" customHeight="1">
      <x:c r="A49" s="13" t="str">
        <x:v>S10DE</x:v>
      </x:c>
      <x:c r="B49" s="13" t="str">
        <x:v>S10D 补强片 / S10E 锁接收座 · 成型三视与接触剖面</x:v>
      </x:c>
      <x:c r="C49" s="20" t="n">
        <x:v>42</x:v>
      </x:c>
      <x:c r="D49" s="13" t="str">
        <x:v>1:1</x:v>
      </x:c>
      <x:c r="E49" s="13" t="str">
        <x:v>S10D、S10E</x:v>
      </x:c>
      <x:c r="F49" s="13" t="str">
        <x:v>三视与检修路径已绘；未经承载验算或生产放行</x:v>
      </x:c>
      <x:c r="G49" s="13" t="str">
        <x:v>中央盖补强片及两锁座分别三视，明确可制造形体和接触界面</x:v>
      </x:c>
      <x:c r="H49" s="13" t="str">
        <x:v>R02用户要求；保留R01外包、C筋与承托盒；新增服务结构</x:v>
      </x:c>
    </x:row>
    <x:row r="50" ht="36" hidden="0" customHeight="1">
      <x:c r="A50" s="14" t="str">
        <x:v>E01</x:v>
      </x:c>
      <x:c r="B50" s="14" t="str">
        <x:v>电气装配导航｜先定位，再按线路号穿孔</x:v>
      </x:c>
      <x:c r="C50" s="19" t="n">
        <x:v>43</x:v>
      </x:c>
      <x:c r="D50" s="14" t="str">
        <x:v>1:10</x:v>
      </x:c>
      <x:c r="E50" s="14" t="str">
        <x:v>E03、E04、E08</x:v>
      </x:c>
      <x:c r="F50" s="14" t="str">
        <x:v>图形与接口导航；到货/实装/保护验收未放行</x:v>
      </x:c>
      <x:c r="G50" s="14" t="str">
        <x:v>电气装配导航｜先定位，再按线路号穿孔</x:v>
      </x:c>
      <x:c r="H50" s="14" t="str">
        <x:v>R03 routes.json，R02证据及R03孔端安装布置</x:v>
      </x:c>
    </x:row>
    <x:row r="51" ht="36" hidden="0" customHeight="1">
      <x:c r="A51" s="13" t="str">
        <x:v>E02</x:v>
      </x:c>
      <x:c r="B51" s="13" t="str">
        <x:v>五路电气原理｜按L / N / PE分线，圆点才相连</x:v>
      </x:c>
      <x:c r="C51" s="20" t="n">
        <x:v>44</x:v>
      </x:c>
      <x:c r="D51" s="13" t="str">
        <x:v>1:10</x:v>
      </x:c>
      <x:c r="E51" s="13" t="str"/>
      <x:c r="F51" s="13" t="str">
        <x:v>图形与接口导航；到货/实装/保护验收未放行</x:v>
      </x:c>
      <x:c r="G51" s="13" t="str">
        <x:v>五路电气原理｜按L / N / PE分线，圆点才相连</x:v>
      </x:c>
      <x:c r="H51" s="13" t="str">
        <x:v>R03 routes.json，R02证据及R03孔端安装布置</x:v>
      </x:c>
    </x:row>
    <x:row r="52" ht="36" hidden="0" customHeight="1">
      <x:c r="A52" s="14" t="str">
        <x:v>E03</x:v>
      </x:c>
      <x:c r="B52" s="14" t="str">
        <x:v>中央端子装配｜从端子编号找到支路与检修步骤</x:v>
      </x:c>
      <x:c r="C52" s="19" t="n">
        <x:v>45</x:v>
      </x:c>
      <x:c r="D52" s="14" t="str">
        <x:v>1:1</x:v>
      </x:c>
      <x:c r="E52" s="14" t="str">
        <x:v>E06、E11、E12、E13、E14、E15、E16、E21、E22、E23、E24</x:v>
      </x:c>
      <x:c r="F52" s="14" t="str">
        <x:v>图形与接口导航；到货/实装/保护验收未放行</x:v>
      </x:c>
      <x:c r="G52" s="14" t="str">
        <x:v>中央端子装配｜从端子编号找到支路与检修步骤</x:v>
      </x:c>
      <x:c r="H52" s="14" t="str">
        <x:v>R03 routes.json，R02证据及R03孔端安装布置</x:v>
      </x:c>
    </x:row>
    <x:row r="53" ht="36" hidden="0" customHeight="1">
      <x:c r="A53" s="13" t="str">
        <x:v>E04</x:v>
      </x:c>
      <x:c r="B53" s="13" t="str">
        <x:v>入口与中央盒｜找孔号，再装护口和抗拉固定</x:v>
      </x:c>
      <x:c r="C53" s="20" t="n">
        <x:v>46</x:v>
      </x:c>
      <x:c r="D53" s="13" t="str">
        <x:v>1:1</x:v>
      </x:c>
      <x:c r="E53" s="13" t="str">
        <x:v>E07、E09、E10、E17、E18、E19、E20</x:v>
      </x:c>
      <x:c r="F53" s="13" t="str">
        <x:v>图形与接口导航；到货/实装/保护验收未放行</x:v>
      </x:c>
      <x:c r="G53" s="13" t="str">
        <x:v>入口与中央盒｜找孔号，再装护口和抗拉固定</x:v>
      </x:c>
      <x:c r="H53" s="13" t="str">
        <x:v>R03 routes.json，R02证据及R03孔端安装布置</x:v>
      </x:c>
    </x:row>
    <x:row r="54" ht="36" hidden="0" customHeight="1">
      <x:c r="A54" s="14" t="str">
        <x:v>E05</x:v>
      </x:c>
      <x:c r="B54" s="14" t="str">
        <x:v>近门与远门｜W3 / W4分别穿两只C筋护口</x:v>
      </x:c>
      <x:c r="C54" s="19" t="n">
        <x:v>47</x:v>
      </x:c>
      <x:c r="D54" s="14" t="str">
        <x:v>1:3</x:v>
      </x:c>
      <x:c r="E54" s="14" t="str">
        <x:v>E02、E05</x:v>
      </x:c>
      <x:c r="F54" s="14" t="str">
        <x:v>图形与接口导航；到货/实装/保护验收未放行</x:v>
      </x:c>
      <x:c r="G54" s="14" t="str">
        <x:v>近门与远门｜W3 / W4分别穿两只C筋护口</x:v>
      </x:c>
      <x:c r="H54" s="14" t="str">
        <x:v>R03 routes.json，R02证据及R03孔端安装布置</x:v>
      </x:c>
    </x:row>
    <x:row r="55" ht="36" hidden="0" customHeight="1">
      <x:c r="A55" s="13" t="str">
        <x:v>E06</x:v>
      </x:c>
      <x:c r="B55" s="13" t="str">
        <x:v>木盒与桌面｜原装线走长边孔，用户线走桌面预留孔</x:v>
      </x:c>
      <x:c r="C55" s="20" t="n">
        <x:v>48</x:v>
      </x:c>
      <x:c r="D55" s="13" t="str">
        <x:v>1:3</x:v>
      </x:c>
      <x:c r="E55" s="13" t="str">
        <x:v>E01</x:v>
      </x:c>
      <x:c r="F55" s="13" t="str">
        <x:v>图形与接口导航；到货/实装/保护验收未放行</x:v>
      </x:c>
      <x:c r="G55" s="13" t="str">
        <x:v>木盒与桌面｜原装线走长边孔，用户线走桌面预留孔</x:v>
      </x:c>
      <x:c r="H55" s="13" t="str">
        <x:v>R03 routes.json，R02证据及R03孔端安装布置</x:v>
      </x:c>
    </x:row>
    <x:row r="56" ht="36" hidden="0" customHeight="1">
      <x:c r="A56" s="14" t="str">
        <x:v>H01</x:v>
      </x:c>
      <x:c r="B56" s="14" t="str">
        <x:v>H01 成品五金｜型号、数量与接口索引</x:v>
      </x:c>
      <x:c r="C56" s="19" t="n">
        <x:v>49</x:v>
      </x:c>
      <x:c r="D56" s="14" t="str">
        <x:v>1:1</x:v>
      </x:c>
      <x:c r="E56" s="14" t="str">
        <x:v>H05、H06、B01、B03、H23、H24</x:v>
      </x:c>
      <x:c r="F56" s="14" t="str">
        <x:v>接口已绘；到货及首件配装待核</x:v>
      </x:c>
      <x:c r="G56" s="14" t="str">
        <x:v>成品型号、数量和接口导航；包装量见完整采购表。</x:v>
      </x:c>
      <x:c r="H56" s="14" t="str">
        <x:v>厂家公开尺寸图＋R02结构接口；链接见采购来源清单</x:v>
      </x:c>
    </x:row>
    <x:row r="57" ht="36" hidden="0" customHeight="1">
      <x:c r="A57" s="13" t="str">
        <x:v>H02</x:v>
      </x:c>
      <x:c r="B57" s="13" t="str">
        <x:v>H02  桌面、调节脚及防脱紧固接口</x:v>
      </x:c>
      <x:c r="C57" s="20" t="n">
        <x:v>50</x:v>
      </x:c>
      <x:c r="D57" s="13" t="str">
        <x:v>2:1</x:v>
      </x:c>
      <x:c r="E57" s="13" t="str">
        <x:v>H01、H02、H09、H10、H11、H13、H14、H15、H16、H17、H18、H22</x:v>
      </x:c>
      <x:c r="F57" s="13" t="str">
        <x:v>接口已绘；到货及首件配装待核</x:v>
      </x:c>
      <x:c r="G57" s="13" t="str">
        <x:v>8点可拆桌面、8只薄脚、4点盖和4点吊板防脱的实际厚度堆叠与螺纹啮合。</x:v>
      </x:c>
      <x:c r="H57" s="13" t="str">
        <x:v>厂家公开尺寸图＋R02结构接口；链接见采购来源清单</x:v>
      </x:c>
    </x:row>
    <x:row r="58" ht="36" hidden="0" customHeight="1">
      <x:c r="A58" s="14" t="str">
        <x:v>H03</x:v>
      </x:c>
      <x:c r="B58" s="14" t="str">
        <x:v>H03  检修门、工具锁与小翻盖安装接口</x:v>
      </x:c>
      <x:c r="C58" s="19" t="n">
        <x:v>51</x:v>
      </x:c>
      <x:c r="D58" s="14" t="str">
        <x:v>1:1</x:v>
      </x:c>
      <x:c r="E58" s="14" t="str">
        <x:v>H03、H04、H07、H12、H19、H20、H21</x:v>
      </x:c>
      <x:c r="F58" s="14" t="str">
        <x:v>接口已绘；到货及首件配装待核</x:v>
      </x:c>
      <x:c r="G58" s="14" t="str">
        <x:v>可抽轴门合页开孔、转舌锁开孔/接收高度、桶铰顶装及翻盖独立承托。</x:v>
      </x:c>
      <x:c r="H58" s="14" t="str">
        <x:v>厂家公开尺寸图＋R02结构接口；链接见采购来源清单</x:v>
      </x:c>
    </x:row>
    <x:row r="59" ht="36" hidden="0" customHeight="1">
      <x:c r="A59" s="13" t="str">
        <x:v>A06</x:v>
      </x:c>
      <x:c r="B59" s="13" t="str">
        <x:v>A06  成品小孔衬套与闲置孔盖装配接口</x:v>
      </x:c>
      <x:c r="C59" s="20" t="n">
        <x:v>52</x:v>
      </x:c>
      <x:c r="D59" s="13" t="str">
        <x:v>2:1</x:v>
      </x:c>
      <x:c r="E59" s="13" t="str">
        <x:v>A06、H25、H26</x:v>
      </x:c>
      <x:c r="F59" s="13" t="str">
        <x:v>接口已绘；到货及首件配装待核</x:v>
      </x:c>
      <x:c r="G59" s="13" t="str">
        <x:v>外购CHC-S18BL替代原机加工护套；φ14安装孔与φ12盖配合、法兰高度控制。</x:v>
      </x:c>
      <x:c r="H59" s="13" t="str">
        <x:v>厂家公开尺寸图＋R02结构接口；链接见采购来源清单</x:v>
      </x:c>
    </x:row>
  </x:sheetData>
  <x:pageMargins left="0.7" right="0.7" top="0.75" bottom="0.75" header="0.3" footer="0.3"/>
  <x:tableParts count="1">
    <x:tablePart xmlns:r="http://schemas.openxmlformats.org/officeDocument/2006/relationships" r:id="Re31b207516d247b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7" hidden="0" customWidth="1"/>
    <x:col min="2" max="2" width="35" hidden="0" customWidth="1"/>
    <x:col min="3" max="3" width="20" hidden="0" customWidth="1"/>
    <x:col min="4" max="4" width="18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  <x:col min="9" max="9" width="23" hidden="0" customWidth="1"/>
    <x:col min="10" max="10" width="42" hidden="0" customWidth="1"/>
    <x:col min="11" max="11" width="6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3" t="str">
        <x:v>整机、总成与零件三视覆盖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0" customHeight="1">
      <x:c r="A3" s="21" t="str">
        <x:v>HW73005-L2000　L2000体验桌　R03　尺寸单位 mm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</x:row>
    <x:row r="4" ht="30" customHeight="1">
      <x:c r="A4" s="2" t="str">
        <x:v>批量（套）</x:v>
      </x:c>
      <x:c r="B4" s="23" t="n">
        <x:f>'零件清单'!$B$4</x:f>
        <x:v>1</x:v>
      </x:c>
      <x:c r="C4" s="2"/>
      <x:c r="D4" s="2" t="str">
        <x:v>版次日期</x:v>
      </x:c>
      <x:c r="E4" s="25" t="n">
        <x:v>46296</x:v>
      </x:c>
      <x:c r="F4" s="2"/>
      <x:c r="G4" s="2"/>
      <x:c r="H4" s="2"/>
      <x:c r="I4" s="2"/>
      <x:c r="J4" s="2"/>
      <x:c r="K4" s="2"/>
    </x:row>
    <x:row r="5" ht="30" customHeight="1">
      <x:c r="A5" s="2" t="str">
        <x:v>已提供表示图中存在相应视图，尺寸和工艺完整性另见状态与复核记录；未给出映射的视图保持待核实。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</x:row>
    <x:row r="6" ht="30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</x:row>
    <x:row r="7" ht="32" customHeight="1">
      <x:c r="A7" s="9" t="str">
        <x:v>对象编号</x:v>
      </x:c>
      <x:c r="B7" s="10" t="str">
        <x:v>对象名称</x:v>
      </x:c>
      <x:c r="C7" s="10" t="str">
        <x:v>对象类型</x:v>
      </x:c>
      <x:c r="D7" s="10" t="str">
        <x:v>对应图号</x:v>
      </x:c>
      <x:c r="E7" s="10" t="str">
        <x:v>PDF 页</x:v>
      </x:c>
      <x:c r="F7" s="10" t="str">
        <x:v>正视图</x:v>
      </x:c>
      <x:c r="G7" s="10" t="str">
        <x:v>俯视图</x:v>
      </x:c>
      <x:c r="H7" s="10" t="str">
        <x:v>侧视图</x:v>
      </x:c>
      <x:c r="I7" s="10" t="str">
        <x:v>状态</x:v>
      </x:c>
      <x:c r="J7" s="10" t="str">
        <x:v>所属 / 关联对象</x:v>
      </x:c>
      <x:c r="K7" s="11" t="str">
        <x:v>说明</x:v>
      </x:c>
    </x:row>
    <x:row r="8" ht="54" hidden="0" customHeight="1">
      <x:c r="A8" s="14" t="str">
        <x:v>I01</x:v>
      </x:c>
      <x:c r="B8" s="14" t="str">
        <x:v>件号索引 · 总成与制作件</x:v>
      </x:c>
      <x:c r="C8" s="14" t="str">
        <x:v>图纸 / 总成</x:v>
      </x:c>
      <x:c r="D8" s="14" t="str">
        <x:v>I01</x:v>
      </x:c>
      <x:c r="E8" s="19" t="n">
        <x:v>1</x:v>
      </x:c>
      <x:c r="F8" s="14" t="str">
        <x:v>索引</x:v>
      </x:c>
      <x:c r="G8" s="14" t="str">
        <x:v>索引</x:v>
      </x:c>
      <x:c r="H8" s="14" t="str">
        <x:v>索引</x:v>
      </x:c>
      <x:c r="I8" s="14" t="str">
        <x:v>件号双向索引</x:v>
      </x:c>
      <x:c r="J8" s="14" t="str">
        <x:v>A01、A04、A03、A05、W01、W02A、W02B、W03、W03A、W04B、W05、S01、S02、A07、S03A、S03B、S03C、S04、S07、S05、S06、A08、S08、S08A、S09A、S09B、S09C、S10A、S10B、S10C、S10D、S10E、A06</x:v>
      </x:c>
      <x:c r="K8" s="14" t="str"/>
    </x:row>
    <x:row r="9" ht="42" hidden="0" customHeight="1">
      <x:c r="A9" s="13" t="str">
        <x:v>I02</x:v>
      </x:c>
      <x:c r="B9" s="13" t="str">
        <x:v>件号索引 · 成品五金</x:v>
      </x:c>
      <x:c r="C9" s="13" t="str">
        <x:v>图纸 / 总成</x:v>
      </x:c>
      <x:c r="D9" s="13" t="str">
        <x:v>I02</x:v>
      </x:c>
      <x:c r="E9" s="20" t="n">
        <x:v>2</x:v>
      </x:c>
      <x:c r="F9" s="13" t="str">
        <x:v>索引</x:v>
      </x:c>
      <x:c r="G9" s="13" t="str">
        <x:v>索引</x:v>
      </x:c>
      <x:c r="H9" s="13" t="str">
        <x:v>索引</x:v>
      </x:c>
      <x:c r="I9" s="13" t="str">
        <x:v>件号双向索引</x:v>
      </x:c>
      <x:c r="J9" s="13" t="str">
        <x:v>H01、H02、H03、H04、H05、H06、H07、H09、H10、H11、H12、H13、H25、H26、H14、H15、H16、H17、H18、H19、H20、H21、B01、B03、H22、H23、H24</x:v>
      </x:c>
      <x:c r="K9" s="13" t="str"/>
    </x:row>
    <x:row r="10" ht="42" hidden="0" customHeight="1">
      <x:c r="A10" s="14" t="str">
        <x:v>I03</x:v>
      </x:c>
      <x:c r="B10" s="14" t="str">
        <x:v>件号索引 · 电气与孔路线</x:v>
      </x:c>
      <x:c r="C10" s="14" t="str">
        <x:v>图纸 / 总成</x:v>
      </x:c>
      <x:c r="D10" s="14" t="str">
        <x:v>I03</x:v>
      </x:c>
      <x:c r="E10" s="19" t="n">
        <x:v>3</x:v>
      </x:c>
      <x:c r="F10" s="14" t="str">
        <x:v>索引</x:v>
      </x:c>
      <x:c r="G10" s="14" t="str">
        <x:v>索引</x:v>
      </x:c>
      <x:c r="H10" s="14" t="str">
        <x:v>索引</x:v>
      </x:c>
      <x:c r="I10" s="14" t="str">
        <x:v>件号双向索引</x:v>
      </x:c>
      <x:c r="J10" s="14" t="str">
        <x:v>E01、E02、E03、E04、E05、E06、E07、E08、E09、E10、E11、E12、E13、E14、E15、E16、E17、E18、E19、E20、E21、E22、E23、E24</x:v>
      </x:c>
      <x:c r="K10" s="14" t="str"/>
    </x:row>
    <x:row r="11" ht="36" hidden="0" customHeight="1">
      <x:c r="A11" s="13" t="str">
        <x:v>A01</x:v>
      </x:c>
      <x:c r="B11" s="13" t="str">
        <x:v>整桌总装 · 三视、基准与装配尺寸</x:v>
      </x:c>
      <x:c r="C11" s="13" t="str">
        <x:v>图纸 / 总成</x:v>
      </x:c>
      <x:c r="D11" s="13" t="str">
        <x:v>A01</x:v>
      </x:c>
      <x:c r="E11" s="20" t="n">
        <x:v>4</x:v>
      </x:c>
      <x:c r="F11" s="13" t="str">
        <x:v>已绘</x:v>
      </x:c>
      <x:c r="G11" s="13" t="str">
        <x:v>已绘</x:v>
      </x:c>
      <x:c r="H11" s="13" t="str">
        <x:v>已绘</x:v>
      </x:c>
      <x:c r="I11" s="13" t="str">
        <x:v>三视已绘</x:v>
      </x:c>
      <x:c r="J11" s="13" t="str">
        <x:v>A01</x:v>
      </x:c>
      <x:c r="K11" s="13" t="str">
        <x:v>整桌总装 · 三视、基准与装配尺寸</x:v>
      </x:c>
    </x:row>
    <x:row r="12" ht="36" hidden="0" customHeight="1">
      <x:c r="A12" s="14" t="str">
        <x:v>A02</x:v>
      </x:c>
      <x:c r="B12" s="14" t="str">
        <x:v>整桌分层装配 · 先看各件在哪里</x:v>
      </x:c>
      <x:c r="C12" s="14" t="str">
        <x:v>图纸 / 总成</x:v>
      </x:c>
      <x:c r="D12" s="14" t="str">
        <x:v>A02</x:v>
      </x:c>
      <x:c r="E12" s="19" t="n">
        <x:v>5</x:v>
      </x:c>
      <x:c r="F12" s="14" t="str">
        <x:v>参见对应制作图</x:v>
      </x:c>
      <x:c r="G12" s="14" t="str">
        <x:v>参见对应制作图</x:v>
      </x:c>
      <x:c r="H12" s="14" t="str">
        <x:v>参见对应制作图</x:v>
      </x:c>
      <x:c r="I12" s="14" t="str">
        <x:v>同源三维装配定位</x:v>
      </x:c>
      <x:c r="J12" s="14" t="str">
        <x:v>S01、S02、S03A、S04、S05、S07、S08A、S10A、S10B、W01、W02A、W02B、W03、W03A、W04B、W05</x:v>
      </x:c>
      <x:c r="K12" s="14" t="str"/>
    </x:row>
    <x:row r="13" ht="36" hidden="0" customHeight="1">
      <x:c r="A13" s="13" t="str">
        <x:v>V02</x:v>
      </x:c>
      <x:c r="B13" s="13" t="str">
        <x:v>桌面组件 · 翻盖与过线口</x:v>
      </x:c>
      <x:c r="C13" s="13" t="str">
        <x:v>图纸 / 总成</x:v>
      </x:c>
      <x:c r="D13" s="13" t="str">
        <x:v>V02</x:v>
      </x:c>
      <x:c r="E13" s="20" t="n">
        <x:v>6</x:v>
      </x:c>
      <x:c r="F13" s="13" t="str">
        <x:v>参见对应制作图</x:v>
      </x:c>
      <x:c r="G13" s="13" t="str">
        <x:v>参见对应制作图</x:v>
      </x:c>
      <x:c r="H13" s="13" t="str">
        <x:v>参见对应制作图</x:v>
      </x:c>
      <x:c r="I13" s="13" t="str">
        <x:v>同源三维装配定位</x:v>
      </x:c>
      <x:c r="J13" s="13" t="str">
        <x:v>B01、B03、H07、H25、H26、W01、W02A、W02B</x:v>
      </x:c>
      <x:c r="K13" s="13" t="str"/>
    </x:row>
    <x:row r="14" ht="36" hidden="0" customHeight="1">
      <x:c r="A14" s="14" t="str">
        <x:v>V10</x:v>
      </x:c>
      <x:c r="B14" s="14" t="str">
        <x:v>木盒组件 · 出线口、承托角与盒底</x:v>
      </x:c>
      <x:c r="C14" s="14" t="str">
        <x:v>图纸 / 总成</x:v>
      </x:c>
      <x:c r="D14" s="14" t="str">
        <x:v>V10</x:v>
      </x:c>
      <x:c r="E14" s="19" t="n">
        <x:v>7</x:v>
      </x:c>
      <x:c r="F14" s="14" t="str">
        <x:v>参见对应制作图</x:v>
      </x:c>
      <x:c r="G14" s="14" t="str">
        <x:v>参见对应制作图</x:v>
      </x:c>
      <x:c r="H14" s="14" t="str">
        <x:v>参见对应制作图</x:v>
      </x:c>
      <x:c r="I14" s="14" t="str">
        <x:v>同源三维装配定位</x:v>
      </x:c>
      <x:c r="J14" s="14" t="str">
        <x:v>H06、H19、H20、H21、W03、W03A、W04B、W05</x:v>
      </x:c>
      <x:c r="K14" s="14" t="str"/>
    </x:row>
    <x:row r="15" ht="36" hidden="0" customHeight="1">
      <x:c r="A15" s="13" t="str">
        <x:v>V03</x:v>
      </x:c>
      <x:c r="B15" s="13" t="str">
        <x:v>钢架组件 · 梁、固定耳与四只桌腿</x:v>
      </x:c>
      <x:c r="C15" s="13" t="str">
        <x:v>图纸 / 总成</x:v>
      </x:c>
      <x:c r="D15" s="13" t="str">
        <x:v>V03</x:v>
      </x:c>
      <x:c r="E15" s="20" t="n">
        <x:v>8</x:v>
      </x:c>
      <x:c r="F15" s="13" t="str">
        <x:v>参见对应制作图</x:v>
      </x:c>
      <x:c r="G15" s="13" t="str">
        <x:v>参见对应制作图</x:v>
      </x:c>
      <x:c r="H15" s="13" t="str">
        <x:v>参见对应制作图</x:v>
      </x:c>
      <x:c r="I15" s="13" t="str">
        <x:v>同源三维装配定位</x:v>
      </x:c>
      <x:c r="J15" s="13" t="str">
        <x:v>S01、S02、S03A、S03B、S03C、S05、S06、S08A、S09A、S09B、S09C</x:v>
      </x:c>
      <x:c r="K15" s="13" t="str"/>
    </x:row>
    <x:row r="16" ht="36" hidden="0" customHeight="1">
      <x:c r="A16" s="14" t="str">
        <x:v>V04</x:v>
      </x:c>
      <x:c r="B16" s="14" t="str">
        <x:v>检修组件 · 门盖与中央下放组件</x:v>
      </x:c>
      <x:c r="C16" s="14" t="str">
        <x:v>图纸 / 总成</x:v>
      </x:c>
      <x:c r="D16" s="14" t="str">
        <x:v>V04</x:v>
      </x:c>
      <x:c r="E16" s="19" t="n">
        <x:v>9</x:v>
      </x:c>
      <x:c r="F16" s="14" t="str">
        <x:v>参见对应制作图</x:v>
      </x:c>
      <x:c r="G16" s="14" t="str">
        <x:v>参见对应制作图</x:v>
      </x:c>
      <x:c r="H16" s="14" t="str">
        <x:v>参见对应制作图</x:v>
      </x:c>
      <x:c r="I16" s="14" t="str">
        <x:v>同源三维装配定位</x:v>
      </x:c>
      <x:c r="J16" s="14" t="str">
        <x:v>H03、H04、H13、H14、H23、H24、S04、S07、S10A、S10B、S10C、S10D、S10E</x:v>
      </x:c>
      <x:c r="K16" s="14" t="str"/>
    </x:row>
    <x:row r="17" ht="36" hidden="0" customHeight="1">
      <x:c r="A17" s="13" t="str">
        <x:v>V05</x:v>
      </x:c>
      <x:c r="B17" s="13" t="str">
        <x:v>连接五金 · 四类局部安装</x:v>
      </x:c>
      <x:c r="C17" s="13" t="str">
        <x:v>图纸 / 总成</x:v>
      </x:c>
      <x:c r="D17" s="13" t="str">
        <x:v>V05</x:v>
      </x:c>
      <x:c r="E17" s="20" t="n">
        <x:v>10</x:v>
      </x:c>
      <x:c r="F17" s="13" t="str">
        <x:v>对应制作/接口图</x:v>
      </x:c>
      <x:c r="G17" s="13" t="str">
        <x:v>对应制作/接口图</x:v>
      </x:c>
      <x:c r="H17" s="13" t="str">
        <x:v>对应制作/接口图</x:v>
      </x:c>
      <x:c r="I17" s="13" t="str">
        <x:v>同源模型局部安装</x:v>
      </x:c>
      <x:c r="J17" s="13" t="str">
        <x:v>H09、H10、H11、H15、H16、H17、H18、H19、H20、H21、H22、S05、S09A、S09B、S09C、W01、W04B</x:v>
      </x:c>
      <x:c r="K17" s="13" t="str"/>
    </x:row>
    <x:row r="18" ht="36" hidden="0" customHeight="1">
      <x:c r="A18" s="14" t="str">
        <x:v>V06</x:v>
      </x:c>
      <x:c r="B18" s="14" t="str">
        <x:v>电器位置 · 钢架内安装位置</x:v>
      </x:c>
      <x:c r="C18" s="14" t="str">
        <x:v>图纸 / 总成</x:v>
      </x:c>
      <x:c r="D18" s="14" t="str">
        <x:v>V06</x:v>
      </x:c>
      <x:c r="E18" s="19" t="n">
        <x:v>11</x:v>
      </x:c>
      <x:c r="F18" s="14" t="str">
        <x:v>参见对应制作图</x:v>
      </x:c>
      <x:c r="G18" s="14" t="str">
        <x:v>参见对应制作图</x:v>
      </x:c>
      <x:c r="H18" s="14" t="str">
        <x:v>参见对应制作图</x:v>
      </x:c>
      <x:c r="I18" s="14" t="str">
        <x:v>同源三维装配定位</x:v>
      </x:c>
      <x:c r="J18" s="14" t="str">
        <x:v>E01、E02、E03、E07、E08、E09、S01、S02、S04、S05、S08A</x:v>
      </x:c>
      <x:c r="K18" s="14" t="str"/>
    </x:row>
    <x:row r="19" ht="36" hidden="0" customHeight="1">
      <x:c r="A19" s="13" t="str">
        <x:v>V07</x:v>
      </x:c>
      <x:c r="B19" s="13" t="str">
        <x:v>门与脚五金 · 四类局部安装</x:v>
      </x:c>
      <x:c r="C19" s="13" t="str">
        <x:v>图纸 / 总成</x:v>
      </x:c>
      <x:c r="D19" s="13" t="str">
        <x:v>V07</x:v>
      </x:c>
      <x:c r="E19" s="20" t="n">
        <x:v>12</x:v>
      </x:c>
      <x:c r="F19" s="13" t="str">
        <x:v>对应制作/接口图</x:v>
      </x:c>
      <x:c r="G19" s="13" t="str">
        <x:v>对应制作/接口图</x:v>
      </x:c>
      <x:c r="H19" s="13" t="str">
        <x:v>对应制作/接口图</x:v>
      </x:c>
      <x:c r="I19" s="13" t="str">
        <x:v>同源模型局部安装</x:v>
      </x:c>
      <x:c r="J19" s="13" t="str">
        <x:v>E02、H01、H02、H03、H04、H05、H12、S03C、S04、S07、S10E</x:v>
      </x:c>
      <x:c r="K19" s="13" t="str"/>
    </x:row>
    <x:row r="20" ht="36" hidden="0" customHeight="1">
      <x:c r="A20" s="14" t="str">
        <x:v>V08</x:v>
      </x:c>
      <x:c r="B20" s="14" t="str">
        <x:v>分线盒内部 · 从下方看接线操作面</x:v>
      </x:c>
      <x:c r="C20" s="14" t="str">
        <x:v>图纸 / 总成</x:v>
      </x:c>
      <x:c r="D20" s="14" t="str">
        <x:v>V08</x:v>
      </x:c>
      <x:c r="E20" s="19" t="n">
        <x:v>13</x:v>
      </x:c>
      <x:c r="F20" s="14" t="str">
        <x:v>参见对应制作图</x:v>
      </x:c>
      <x:c r="G20" s="14" t="str">
        <x:v>参见对应制作图</x:v>
      </x:c>
      <x:c r="H20" s="14" t="str">
        <x:v>参见对应制作图</x:v>
      </x:c>
      <x:c r="I20" s="14" t="str">
        <x:v>同源三维装配定位</x:v>
      </x:c>
      <x:c r="J20" s="14" t="str">
        <x:v>E06、E07、E11、E12、E13、E14、E15</x:v>
      </x:c>
      <x:c r="K20" s="14" t="str"/>
    </x:row>
    <x:row r="21" ht="36" hidden="0" customHeight="1">
      <x:c r="A21" s="13" t="str">
        <x:v>V09</x:v>
      </x:c>
      <x:c r="B21" s="13" t="str">
        <x:v>电气连接件 · 入口与接地局部</x:v>
      </x:c>
      <x:c r="C21" s="13" t="str">
        <x:v>图纸 / 总成</x:v>
      </x:c>
      <x:c r="D21" s="13" t="str">
        <x:v>V09</x:v>
      </x:c>
      <x:c r="E21" s="20" t="n">
        <x:v>14</x:v>
      </x:c>
      <x:c r="F21" s="13" t="str">
        <x:v>对应制作/接口图</x:v>
      </x:c>
      <x:c r="G21" s="13" t="str">
        <x:v>对应制作/接口图</x:v>
      </x:c>
      <x:c r="H21" s="13" t="str">
        <x:v>对应制作/接口图</x:v>
      </x:c>
      <x:c r="I21" s="13" t="str">
        <x:v>同源模型局部安装</x:v>
      </x:c>
      <x:c r="J21" s="13" t="str">
        <x:v>E09、E10、E16、E17、E18、E19、E20、E22、E23、E24、S04、S08A、S10A、S10B</x:v>
      </x:c>
      <x:c r="K21" s="13" t="str"/>
    </x:row>
    <x:row r="22" ht="36" hidden="0" customHeight="1">
      <x:c r="A22" s="14" t="str">
        <x:v>D01</x:v>
      </x:c>
      <x:c r="B22" s="14" t="str">
        <x:v>D01 桌面可拆固定 · M6嵌件节点、工具柱及拆卸顺序</x:v>
      </x:c>
      <x:c r="C22" s="14" t="str">
        <x:v>图纸 / 总成</x:v>
      </x:c>
      <x:c r="D22" s="14" t="str">
        <x:v>D01</x:v>
      </x:c>
      <x:c r="E22" s="19" t="n">
        <x:v>15</x:v>
      </x:c>
      <x:c r="F22" s="14" t="str">
        <x:v>D01/正视</x:v>
      </x:c>
      <x:c r="G22" s="14" t="str">
        <x:v>D01/俯视</x:v>
      </x:c>
      <x:c r="H22" s="14" t="str">
        <x:v>D01/右视</x:v>
      </x:c>
      <x:c r="I22" s="14" t="str">
        <x:v>三视与检修路径已绘；未经承载验算或生产放行</x:v>
      </x:c>
      <x:c r="J22" s="14" t="str">
        <x:v>W01、S09B、H09</x:v>
      </x:c>
      <x:c r="K22" s="14" t="str">
        <x:v>真实厚度链、嵌件盲孔控制与完整桌面拆卸动作</x:v>
      </x:c>
    </x:row>
    <x:row r="23" ht="36" hidden="0" customHeight="1">
      <x:c r="A23" s="13" t="str">
        <x:v>S10F</x:v>
      </x:c>
      <x:c r="B23" s="13" t="str">
        <x:v>S10F 中央检修服务位 · 成品索长度、独立锚点及实体行程</x:v>
      </x:c>
      <x:c r="C23" s="13" t="str">
        <x:v>图纸 / 总成</x:v>
      </x:c>
      <x:c r="D23" s="13" t="str">
        <x:v>S10F</x:v>
      </x:c>
      <x:c r="E23" s="20" t="n">
        <x:v>16</x:v>
      </x:c>
      <x:c r="F23" s="13" t="str">
        <x:v>S10F/正视</x:v>
      </x:c>
      <x:c r="G23" s="13" t="str">
        <x:v>S10F/俯视</x:v>
      </x:c>
      <x:c r="H23" s="13" t="str">
        <x:v>S10F/右视</x:v>
      </x:c>
      <x:c r="I23" s="13" t="str">
        <x:v>三视与检修路径已绘；未经承载验算或生产放行</x:v>
      </x:c>
      <x:c r="J23" s="13" t="str">
        <x:v>S10A、S10B、S10C、H23、H24</x:v>
      </x:c>
      <x:c r="K23" s="13" t="str">
        <x:v>闭合/服务实体位置与成品双端片索的三维长度闭合</x:v>
      </x:c>
    </x:row>
    <x:row r="24" ht="36" hidden="0" customHeight="1">
      <x:c r="A24" s="14" t="str">
        <x:v>A04</x:v>
      </x:c>
      <x:c r="B24" s="14" t="str">
        <x:v>钢结构总成 · 底视布置、三视与焊接</x:v>
      </x:c>
      <x:c r="C24" s="14" t="str">
        <x:v>图纸 / 总成</x:v>
      </x:c>
      <x:c r="D24" s="14" t="str">
        <x:v>A04</x:v>
      </x:c>
      <x:c r="E24" s="19" t="n">
        <x:v>17</x:v>
      </x:c>
      <x:c r="F24" s="14" t="str">
        <x:v>已绘</x:v>
      </x:c>
      <x:c r="G24" s="14" t="str">
        <x:v>已绘</x:v>
      </x:c>
      <x:c r="H24" s="14" t="str">
        <x:v>已绘</x:v>
      </x:c>
      <x:c r="I24" s="14" t="str">
        <x:v>三视已绘</x:v>
      </x:c>
      <x:c r="J24" s="14" t="str">
        <x:v>A04</x:v>
      </x:c>
      <x:c r="K24" s="14" t="str">
        <x:v>钢结构总成 · 底视布置、三视与焊接</x:v>
      </x:c>
    </x:row>
    <x:row r="25" ht="36" hidden="0" customHeight="1">
      <x:c r="A25" s="13" t="str">
        <x:v>A03</x:v>
      </x:c>
      <x:c r="B25" s="13" t="str">
        <x:v>桌面与翻盖总成｜孔位、毛刷及护口布置</x:v>
      </x:c>
      <x:c r="C25" s="13" t="str">
        <x:v>图纸 / 总成</x:v>
      </x:c>
      <x:c r="D25" s="13" t="str">
        <x:v>A03</x:v>
      </x:c>
      <x:c r="E25" s="20" t="n">
        <x:v>18</x:v>
      </x:c>
      <x:c r="F25" s="13" t="str">
        <x:v>A03/正视：实体及尺寸已绘</x:v>
      </x:c>
      <x:c r="G25" s="13" t="str">
        <x:v>A03/俯视：实体及孔槽已绘</x:v>
      </x:c>
      <x:c r="H25" s="13" t="str">
        <x:v>A03/右视：实体、厚度及隐藏线已绘</x:v>
      </x:c>
      <x:c r="I25" s="13" t="str">
        <x:v>成型三视已绘；配孔及装配按页内说明</x:v>
      </x:c>
      <x:c r="J25" s="13" t="str">
        <x:v>A03</x:v>
      </x:c>
      <x:c r="K25" s="13" t="str">
        <x:v>桌面与翻盖总成｜孔位、毛刷及护口布置</x:v>
      </x:c>
    </x:row>
    <x:row r="26" ht="36" hidden="0" customHeight="1">
      <x:c r="A26" s="14" t="str">
        <x:v>A05</x:v>
      </x:c>
      <x:c r="B26" s="14" t="str">
        <x:v>承托盒总成｜长侧出线、短侧固定</x:v>
      </x:c>
      <x:c r="C26" s="14" t="str">
        <x:v>图纸 / 总成</x:v>
      </x:c>
      <x:c r="D26" s="14" t="str">
        <x:v>A05</x:v>
      </x:c>
      <x:c r="E26" s="19" t="n">
        <x:v>19</x:v>
      </x:c>
      <x:c r="F26" s="14" t="str">
        <x:v>A05/正视：实体及尺寸已绘</x:v>
      </x:c>
      <x:c r="G26" s="14" t="str">
        <x:v>A05/俯视：实体及孔槽已绘</x:v>
      </x:c>
      <x:c r="H26" s="14" t="str">
        <x:v>A05/右视：实体、厚度及隐藏线已绘</x:v>
      </x:c>
      <x:c r="I26" s="14" t="str">
        <x:v>成型三视已绘；配孔及装配按页内说明</x:v>
      </x:c>
      <x:c r="J26" s="14" t="str">
        <x:v>A05</x:v>
      </x:c>
      <x:c r="K26" s="14" t="str">
        <x:v>承托盒总成｜长侧出线、短侧固定</x:v>
      </x:c>
    </x:row>
    <x:row r="27" ht="36" hidden="0" customHeight="1">
      <x:c r="A27" s="13" t="str">
        <x:v>W01</x:v>
      </x:c>
      <x:c r="B27" s="13" t="str">
        <x:v>W01 桌面成品板｜实际切口与封边控制</x:v>
      </x:c>
      <x:c r="C27" s="13" t="str">
        <x:v>图纸 / 总成</x:v>
      </x:c>
      <x:c r="D27" s="13" t="str">
        <x:v>W01</x:v>
      </x:c>
      <x:c r="E27" s="20" t="n">
        <x:v>20</x:v>
      </x:c>
      <x:c r="F27" s="13" t="str">
        <x:v>W01/正视：实体及尺寸已绘</x:v>
      </x:c>
      <x:c r="G27" s="13" t="str">
        <x:v>W01/俯视：实体及孔槽已绘</x:v>
      </x:c>
      <x:c r="H27" s="13" t="str">
        <x:v>W01/右视：实体、厚度及隐藏线已绘</x:v>
      </x:c>
      <x:c r="I27" s="13" t="str">
        <x:v>成型三视已绘；配孔及装配按页内说明</x:v>
      </x:c>
      <x:c r="J27" s="13" t="str">
        <x:v>W01</x:v>
      </x:c>
      <x:c r="K27" s="13" t="str">
        <x:v>W01 桌面成品板｜实际切口与封边控制</x:v>
      </x:c>
    </x:row>
    <x:row r="28" ht="36" hidden="0" customHeight="1">
      <x:c r="A28" s="14" t="str">
        <x:v>W02</x:v>
      </x:c>
      <x:c r="B28" s="14" t="str">
        <x:v>W02A / W02B 翻盖板｜有槽与实板配对</x:v>
      </x:c>
      <x:c r="C28" s="14" t="str">
        <x:v>图纸 / 总成</x:v>
      </x:c>
      <x:c r="D28" s="14" t="str">
        <x:v>W02</x:v>
      </x:c>
      <x:c r="E28" s="19" t="n">
        <x:v>21</x:v>
      </x:c>
      <x:c r="F28" s="14" t="str">
        <x:v>W02/正视：实体及尺寸已绘</x:v>
      </x:c>
      <x:c r="G28" s="14" t="str">
        <x:v>W02/俯视：实体及孔槽已绘</x:v>
      </x:c>
      <x:c r="H28" s="14" t="str">
        <x:v>W02/右视：实体、厚度及隐藏线已绘</x:v>
      </x:c>
      <x:c r="I28" s="14" t="str">
        <x:v>成型三视已绘；配孔及装配按页内说明</x:v>
      </x:c>
      <x:c r="J28" s="14" t="str">
        <x:v>W02A、W02B</x:v>
      </x:c>
      <x:c r="K28" s="14" t="str">
        <x:v>W02A / W02B 翻盖板｜有槽与实板配对</x:v>
      </x:c>
    </x:row>
    <x:row r="29" ht="36" hidden="0" customHeight="1">
      <x:c r="A29" s="13" t="str">
        <x:v>W03</x:v>
      </x:c>
      <x:c r="B29" s="13" t="str">
        <x:v>W03 / W03A 承托盒长侧板｜无孔与有孔</x:v>
      </x:c>
      <x:c r="C29" s="13" t="str">
        <x:v>图纸 / 总成</x:v>
      </x:c>
      <x:c r="D29" s="13" t="str">
        <x:v>W03</x:v>
      </x:c>
      <x:c r="E29" s="20" t="n">
        <x:v>22</x:v>
      </x:c>
      <x:c r="F29" s="13" t="str">
        <x:v>W03/正视：实体及尺寸已绘</x:v>
      </x:c>
      <x:c r="G29" s="13" t="str">
        <x:v>W03/俯视：实体及孔槽已绘</x:v>
      </x:c>
      <x:c r="H29" s="13" t="str">
        <x:v>W03/右视：实体、厚度及隐藏线已绘</x:v>
      </x:c>
      <x:c r="I29" s="13" t="str">
        <x:v>成型三视已绘；配孔及装配按页内说明</x:v>
      </x:c>
      <x:c r="J29" s="13" t="str">
        <x:v>W03、W03A</x:v>
      </x:c>
      <x:c r="K29" s="13" t="str">
        <x:v>W03 / W03A 承托盒长侧板｜无孔与有孔</x:v>
      </x:c>
    </x:row>
    <x:row r="30" ht="36" hidden="0" customHeight="1">
      <x:c r="A30" s="14" t="str">
        <x:v>W04</x:v>
      </x:c>
      <x:c r="B30" s="14" t="str">
        <x:v>W04B 承托盒短侧板｜固定孔与承托预孔</x:v>
      </x:c>
      <x:c r="C30" s="14" t="str">
        <x:v>图纸 / 总成</x:v>
      </x:c>
      <x:c r="D30" s="14" t="str">
        <x:v>W04</x:v>
      </x:c>
      <x:c r="E30" s="19" t="n">
        <x:v>23</x:v>
      </x:c>
      <x:c r="F30" s="14" t="str">
        <x:v>W04/正视：实体及尺寸已绘</x:v>
      </x:c>
      <x:c r="G30" s="14" t="str">
        <x:v>W04/俯视：实体及孔槽已绘</x:v>
      </x:c>
      <x:c r="H30" s="14" t="str">
        <x:v>W04/右视：实体、厚度及隐藏线已绘</x:v>
      </x:c>
      <x:c r="I30" s="14" t="str">
        <x:v>成型三视已绘；配孔及装配按页内说明</x:v>
      </x:c>
      <x:c r="J30" s="14" t="str">
        <x:v>W04B</x:v>
      </x:c>
      <x:c r="K30" s="14" t="str">
        <x:v>W04B 承托盒短侧板｜固定孔与承托预孔</x:v>
      </x:c>
    </x:row>
    <x:row r="31" ht="36" hidden="0" customHeight="1">
      <x:c r="A31" s="13" t="str">
        <x:v>W05</x:v>
      </x:c>
      <x:c r="B31" s="13" t="str">
        <x:v>W05 承托盒底板｜托底构造与三视</x:v>
      </x:c>
      <x:c r="C31" s="13" t="str">
        <x:v>图纸 / 总成</x:v>
      </x:c>
      <x:c r="D31" s="13" t="str">
        <x:v>W05</x:v>
      </x:c>
      <x:c r="E31" s="20" t="n">
        <x:v>24</x:v>
      </x:c>
      <x:c r="F31" s="13" t="str">
        <x:v>W05/正视：实体及尺寸已绘</x:v>
      </x:c>
      <x:c r="G31" s="13" t="str">
        <x:v>W05/俯视：实体及孔槽已绘</x:v>
      </x:c>
      <x:c r="H31" s="13" t="str">
        <x:v>W05/右视：实体、厚度及隐藏线已绘</x:v>
      </x:c>
      <x:c r="I31" s="13" t="str">
        <x:v>成型三视已绘；配孔及装配按页内说明</x:v>
      </x:c>
      <x:c r="J31" s="13" t="str">
        <x:v>W05</x:v>
      </x:c>
      <x:c r="K31" s="13" t="str">
        <x:v>W05 承托盒底板｜托底构造与三视</x:v>
      </x:c>
    </x:row>
    <x:row r="32" ht="36" hidden="0" customHeight="1">
      <x:c r="A32" s="14" t="str">
        <x:v>D02</x:v>
      </x:c>
      <x:c r="B32" s="14" t="str">
        <x:v>翻盖与成品毛刷安装 · 顶装桶铰链、承托及分段</x:v>
      </x:c>
      <x:c r="C32" s="14" t="str">
        <x:v>图纸 / 总成</x:v>
      </x:c>
      <x:c r="D32" s="14" t="str">
        <x:v>D02</x:v>
      </x:c>
      <x:c r="E32" s="19" t="n">
        <x:v>25</x:v>
      </x:c>
      <x:c r="F32" s="14" t="str">
        <x:v>安装节点剖面</x:v>
      </x:c>
      <x:c r="G32" s="14" t="str">
        <x:v>五段毛刷坐标表</x:v>
      </x:c>
      <x:c r="H32" s="14" t="str">
        <x:v>成品支承安装坐标；非零件制作页</x:v>
      </x:c>
      <x:c r="I32" s="14" t="str">
        <x:v>成型三视已绘；配孔及装配按页内说明</x:v>
      </x:c>
      <x:c r="J32" s="14" t="str">
        <x:v>W01、W02A、W02B</x:v>
      </x:c>
      <x:c r="K32" s="14" t="str">
        <x:v>翻盖与成品毛刷安装 · 顶装桶铰链、承托及分段</x:v>
      </x:c>
    </x:row>
    <x:row r="33" ht="36" hidden="0" customHeight="1">
      <x:c r="A33" s="13" t="str">
        <x:v>S01</x:v>
      </x:c>
      <x:c r="B33" s="13" t="str">
        <x:v>长边斜腹板 · 成型与端部放样</x:v>
      </x:c>
      <x:c r="C33" s="13" t="str">
        <x:v>图纸 / 总成</x:v>
      </x:c>
      <x:c r="D33" s="13" t="str">
        <x:v>S01</x:v>
      </x:c>
      <x:c r="E33" s="20" t="n">
        <x:v>26</x:v>
      </x:c>
      <x:c r="F33" s="13" t="str">
        <x:v>已绘正视</x:v>
      </x:c>
      <x:c r="G33" s="13" t="str">
        <x:v>已绘俯视</x:v>
      </x:c>
      <x:c r="H33" s="13" t="str">
        <x:v>已绘右视</x:v>
      </x:c>
      <x:c r="I33" s="13" t="str">
        <x:v>已绘成型尺寸及工艺说明</x:v>
      </x:c>
      <x:c r="J33" s="13" t="str">
        <x:v>S01</x:v>
      </x:c>
      <x:c r="K33" s="13" t="str">
        <x:v>长边斜腹板 · 成型与端部放样</x:v>
      </x:c>
    </x:row>
    <x:row r="34" ht="36" hidden="0" customHeight="1">
      <x:c r="A34" s="14" t="str">
        <x:v>S02</x:v>
      </x:c>
      <x:c r="B34" s="14" t="str">
        <x:v>短边斜腹板 · 成型与端部放样</x:v>
      </x:c>
      <x:c r="C34" s="14" t="str">
        <x:v>图纸 / 总成</x:v>
      </x:c>
      <x:c r="D34" s="14" t="str">
        <x:v>S02</x:v>
      </x:c>
      <x:c r="E34" s="19" t="n">
        <x:v>27</x:v>
      </x:c>
      <x:c r="F34" s="14" t="str">
        <x:v>已绘正视</x:v>
      </x:c>
      <x:c r="G34" s="14" t="str">
        <x:v>已绘俯视</x:v>
      </x:c>
      <x:c r="H34" s="14" t="str">
        <x:v>已绘右视</x:v>
      </x:c>
      <x:c r="I34" s="14" t="str">
        <x:v>已绘成型尺寸及工艺说明</x:v>
      </x:c>
      <x:c r="J34" s="14" t="str">
        <x:v>S02</x:v>
      </x:c>
      <x:c r="K34" s="14" t="str">
        <x:v>短边斜腹板 · 成型与端部放样</x:v>
      </x:c>
    </x:row>
    <x:row r="35" ht="36" hidden="0" customHeight="1">
      <x:c r="A35" s="13" t="str">
        <x:v>A07</x:v>
      </x:c>
      <x:c r="B35" s="13" t="str">
        <x:v>刀形桌腿总成 · 分缝与成品脚件</x:v>
      </x:c>
      <x:c r="C35" s="13" t="str">
        <x:v>图纸 / 总成</x:v>
      </x:c>
      <x:c r="D35" s="13" t="str">
        <x:v>A07</x:v>
      </x:c>
      <x:c r="E35" s="20" t="n">
        <x:v>28</x:v>
      </x:c>
      <x:c r="F35" s="13" t="str">
        <x:v>已绘正视</x:v>
      </x:c>
      <x:c r="G35" s="13" t="str">
        <x:v>已绘俯视</x:v>
      </x:c>
      <x:c r="H35" s="13" t="str">
        <x:v>已绘右视</x:v>
      </x:c>
      <x:c r="I35" s="13" t="str">
        <x:v>已绘成型尺寸及工艺说明</x:v>
      </x:c>
      <x:c r="J35" s="13" t="str">
        <x:v>A07</x:v>
      </x:c>
      <x:c r="K35" s="13" t="str">
        <x:v>刀形桌腿总成 · 分缝与成品脚件</x:v>
      </x:c>
    </x:row>
    <x:row r="36" ht="36" hidden="0" customHeight="1">
      <x:c r="A36" s="14" t="str">
        <x:v>S03A</x:v>
      </x:c>
      <x:c r="B36" s="14" t="str">
        <x:v>刀形腿壳 · 成型三视与焊缝</x:v>
      </x:c>
      <x:c r="C36" s="14" t="str">
        <x:v>图纸 / 总成</x:v>
      </x:c>
      <x:c r="D36" s="14" t="str">
        <x:v>S03A</x:v>
      </x:c>
      <x:c r="E36" s="19" t="n">
        <x:v>29</x:v>
      </x:c>
      <x:c r="F36" s="14" t="str">
        <x:v>已绘正视</x:v>
      </x:c>
      <x:c r="G36" s="14" t="str">
        <x:v>已绘俯视</x:v>
      </x:c>
      <x:c r="H36" s="14" t="str">
        <x:v>已绘右视</x:v>
      </x:c>
      <x:c r="I36" s="14" t="str">
        <x:v>已绘成型尺寸及工艺说明</x:v>
      </x:c>
      <x:c r="J36" s="14" t="str">
        <x:v>S03A</x:v>
      </x:c>
      <x:c r="K36" s="14" t="str">
        <x:v>刀形腿壳 · 成型三视与焊缝</x:v>
      </x:c>
    </x:row>
    <x:row r="37" ht="36" hidden="0" customHeight="1">
      <x:c r="A37" s="13" t="str">
        <x:v>S03BC</x:v>
      </x:c>
      <x:c r="B37" s="13" t="str">
        <x:v>刀形腿封板 · 内端板与底封板</x:v>
      </x:c>
      <x:c r="C37" s="13" t="str">
        <x:v>图纸 / 总成</x:v>
      </x:c>
      <x:c r="D37" s="13" t="str">
        <x:v>S03BC</x:v>
      </x:c>
      <x:c r="E37" s="20" t="n">
        <x:v>30</x:v>
      </x:c>
      <x:c r="F37" s="13" t="str">
        <x:v>已绘正视</x:v>
      </x:c>
      <x:c r="G37" s="13" t="str">
        <x:v>已绘俯视</x:v>
      </x:c>
      <x:c r="H37" s="13" t="str">
        <x:v>已绘右视</x:v>
      </x:c>
      <x:c r="I37" s="13" t="str">
        <x:v>已绘成型尺寸及工艺说明</x:v>
      </x:c>
      <x:c r="J37" s="13" t="str">
        <x:v>S03B、S03C</x:v>
      </x:c>
      <x:c r="K37" s="13" t="str">
        <x:v>刀形腿封板 · 内端板与底封板</x:v>
      </x:c>
    </x:row>
    <x:row r="38" ht="36" hidden="0" customHeight="1">
      <x:c r="A38" s="14" t="str">
        <x:v>S04</x:v>
      </x:c>
      <x:c r="B38" s="14" t="str">
        <x:v>桌肚底盘 · 折边、检修口与定位</x:v>
      </x:c>
      <x:c r="C38" s="14" t="str">
        <x:v>图纸 / 总成</x:v>
      </x:c>
      <x:c r="D38" s="14" t="str">
        <x:v>S04</x:v>
      </x:c>
      <x:c r="E38" s="19" t="n">
        <x:v>31</x:v>
      </x:c>
      <x:c r="F38" s="14" t="str">
        <x:v>已绘正视</x:v>
      </x:c>
      <x:c r="G38" s="14" t="str">
        <x:v>已绘俯视</x:v>
      </x:c>
      <x:c r="H38" s="14" t="str">
        <x:v>已绘右视</x:v>
      </x:c>
      <x:c r="I38" s="14" t="str">
        <x:v>已绘成型尺寸及工艺说明</x:v>
      </x:c>
      <x:c r="J38" s="14" t="str">
        <x:v>S04</x:v>
      </x:c>
      <x:c r="K38" s="14" t="str">
        <x:v>桌肚底盘 · 折边、检修口与定位</x:v>
      </x:c>
    </x:row>
    <x:row r="39" ht="36" hidden="0" customHeight="1">
      <x:c r="A39" s="13" t="str">
        <x:v>S07</x:v>
      </x:c>
      <x:c r="B39" s="13" t="str">
        <x:v>检修门 · 门缝、铰链与排插固定</x:v>
      </x:c>
      <x:c r="C39" s="13" t="str">
        <x:v>图纸 / 总成</x:v>
      </x:c>
      <x:c r="D39" s="13" t="str">
        <x:v>S07</x:v>
      </x:c>
      <x:c r="E39" s="20" t="n">
        <x:v>32</x:v>
      </x:c>
      <x:c r="F39" s="13" t="str">
        <x:v>已绘正视</x:v>
      </x:c>
      <x:c r="G39" s="13" t="str">
        <x:v>已绘俯视</x:v>
      </x:c>
      <x:c r="H39" s="13" t="str">
        <x:v>已绘右视</x:v>
      </x:c>
      <x:c r="I39" s="13" t="str">
        <x:v>已绘成型尺寸及工艺说明</x:v>
      </x:c>
      <x:c r="J39" s="13" t="str">
        <x:v>S07</x:v>
      </x:c>
      <x:c r="K39" s="13" t="str">
        <x:v>检修门 · 门缝、铰链与排插固定</x:v>
      </x:c>
    </x:row>
    <x:row r="40" ht="36" hidden="0" customHeight="1">
      <x:c r="A40" s="14" t="str">
        <x:v>S05</x:v>
      </x:c>
      <x:c r="B40" s="14" t="str">
        <x:v>S05  长向 C 型加强筋成型制作</x:v>
      </x:c>
      <x:c r="C40" s="14" t="str">
        <x:v>图纸 / 总成</x:v>
      </x:c>
      <x:c r="D40" s="14" t="str">
        <x:v>S05</x:v>
      </x:c>
      <x:c r="E40" s="19" t="n">
        <x:v>33</x:v>
      </x:c>
      <x:c r="F40" s="14" t="str">
        <x:v>S05 正视图</x:v>
      </x:c>
      <x:c r="G40" s="14" t="str">
        <x:v>S05 俯视图</x:v>
      </x:c>
      <x:c r="H40" s="14" t="str">
        <x:v>S05 右视图</x:v>
      </x:c>
      <x:c r="I40" s="14" t="str">
        <x:v>成型已绘；干涉按同版腹板已消除；试装与折弯展开待核</x:v>
      </x:c>
      <x:c r="J40" s="14" t="str">
        <x:v>S05</x:v>
      </x:c>
      <x:c r="K40" s="14" t="str">
        <x:v>长向C筋成型三视、原端部斜切控制与安装横截面；T2、30×97、唇13、净430。</x:v>
      </x:c>
    </x:row>
    <x:row r="41" ht="36" hidden="0" customHeight="1">
      <x:c r="A41" s="13" t="str">
        <x:v>S06</x:v>
      </x:c>
      <x:c r="B41" s="13" t="str">
        <x:v>S06  U 型卡槽成型制作与安装</x:v>
      </x:c>
      <x:c r="C41" s="13" t="str">
        <x:v>图纸 / 总成</x:v>
      </x:c>
      <x:c r="D41" s="13" t="str">
        <x:v>S06</x:v>
      </x:c>
      <x:c r="E41" s="20" t="n">
        <x:v>34</x:v>
      </x:c>
      <x:c r="F41" s="13" t="str">
        <x:v>S06 正视图</x:v>
      </x:c>
      <x:c r="G41" s="13" t="str">
        <x:v>S06 俯视图</x:v>
      </x:c>
      <x:c r="H41" s="13" t="str">
        <x:v>S06 右视图</x:v>
      </x:c>
      <x:c r="I41" s="13" t="str">
        <x:v>成型已绘；试卡与折弯展开待核</x:v>
      </x:c>
      <x:c r="J41" s="13" t="str">
        <x:v>S06</x:v>
      </x:c>
      <x:c r="K41" s="13" t="str">
        <x:v>U槽成型三视与口沿截面；真实底宽25、喉口18、高20，外翻唇单独表达。</x:v>
      </x:c>
    </x:row>
    <x:row r="42" ht="36" hidden="0" customHeight="1">
      <x:c r="A42" s="14" t="str">
        <x:v>A08</x:v>
      </x:c>
      <x:c r="B42" s="14" t="str">
        <x:v>内部加强与检修 · 八点拆面、横向框架及接近通道</x:v>
      </x:c>
      <x:c r="C42" s="14" t="str">
        <x:v>图纸 / 总成</x:v>
      </x:c>
      <x:c r="D42" s="14" t="str">
        <x:v>A08</x:v>
      </x:c>
      <x:c r="E42" s="19" t="n">
        <x:v>35</x:v>
      </x:c>
      <x:c r="F42" s="14" t="str">
        <x:v>A08/正视</x:v>
      </x:c>
      <x:c r="G42" s="14" t="str">
        <x:v>A08/俯视</x:v>
      </x:c>
      <x:c r="H42" s="14" t="str">
        <x:v>A08/右视</x:v>
      </x:c>
      <x:c r="I42" s="14" t="str">
        <x:v>三视与检修路径已绘；未经承载验算或生产放行</x:v>
      </x:c>
      <x:c r="J42" s="14" t="str">
        <x:v>A08</x:v>
      </x:c>
      <x:c r="K42" s="14" t="str">
        <x:v>原结构内补横向框架、可达八点拆面与中央检修路径</x:v>
      </x:c>
    </x:row>
    <x:row r="43" ht="36" hidden="0" customHeight="1">
      <x:c r="A43" s="13" t="str">
        <x:v>S08</x:v>
      </x:c>
      <x:c r="B43" s="13" t="str">
        <x:v>S08 可拆横梁总成 / S08A 矩管身 · 成型三视与端接口</x:v>
      </x:c>
      <x:c r="C43" s="13" t="str">
        <x:v>图纸 / 总成</x:v>
      </x:c>
      <x:c r="D43" s="13" t="str">
        <x:v>S08</x:v>
      </x:c>
      <x:c r="E43" s="20" t="n">
        <x:v>36</x:v>
      </x:c>
      <x:c r="F43" s="13" t="str">
        <x:v>S08/正视</x:v>
      </x:c>
      <x:c r="G43" s="13" t="str">
        <x:v>S08/俯视</x:v>
      </x:c>
      <x:c r="H43" s="13" t="str">
        <x:v>S08/右视</x:v>
      </x:c>
      <x:c r="I43" s="13" t="str">
        <x:v>三视与检修路径已绘；未经承载验算或生产放行</x:v>
      </x:c>
      <x:c r="J43" s="13" t="str">
        <x:v>S08、S08A</x:v>
      </x:c>
      <x:c r="K43" s="13" t="str">
        <x:v>可拆横梁及管身三视、长度链和C腔连接坐标</x:v>
      </x:c>
    </x:row>
    <x:row r="44" ht="36" hidden="0" customHeight="1">
      <x:c r="A44" s="14" t="str">
        <x:v>S09A</x:v>
      </x:c>
      <x:c r="B44" s="14" t="str">
        <x:v>S09A 横梁端板 · 焊母接口及C腹板连接</x:v>
      </x:c>
      <x:c r="C44" s="14" t="str">
        <x:v>图纸 / 总成</x:v>
      </x:c>
      <x:c r="D44" s="14" t="str">
        <x:v>S09A</x:v>
      </x:c>
      <x:c r="E44" s="19" t="n">
        <x:v>37</x:v>
      </x:c>
      <x:c r="F44" s="14" t="str">
        <x:v>S09A/正视</x:v>
      </x:c>
      <x:c r="G44" s="14" t="str">
        <x:v>S09A/俯视</x:v>
      </x:c>
      <x:c r="H44" s="14" t="str">
        <x:v>S09A/右视</x:v>
      </x:c>
      <x:c r="I44" s="14" t="str">
        <x:v>三视与检修路径已绘；未经承载验算或生产放行</x:v>
      </x:c>
      <x:c r="J44" s="14" t="str">
        <x:v>S09A</x:v>
      </x:c>
      <x:c r="K44" s="14" t="str">
        <x:v>端板真实三视、两孔定位与焊母先装顺序</x:v>
      </x:c>
    </x:row>
    <x:row r="45" ht="36" hidden="0" customHeight="1">
      <x:c r="A45" s="13" t="str">
        <x:v>S09B</x:v>
      </x:c>
      <x:c r="B45" s="13" t="str">
        <x:v>S09B 桌面固定耳 · 原检修口上方八点可拆接口</x:v>
      </x:c>
      <x:c r="C45" s="13" t="str">
        <x:v>图纸 / 总成</x:v>
      </x:c>
      <x:c r="D45" s="13" t="str">
        <x:v>S09B</x:v>
      </x:c>
      <x:c r="E45" s="20" t="n">
        <x:v>38</x:v>
      </x:c>
      <x:c r="F45" s="13" t="str">
        <x:v>S09B/正视</x:v>
      </x:c>
      <x:c r="G45" s="13" t="str">
        <x:v>S09B/俯视</x:v>
      </x:c>
      <x:c r="H45" s="13" t="str">
        <x:v>S09B/右视</x:v>
      </x:c>
      <x:c r="I45" s="13" t="str">
        <x:v>三视与检修路径已绘；未经承载验算或生产放行</x:v>
      </x:c>
      <x:c r="J45" s="13" t="str">
        <x:v>S09B</x:v>
      </x:c>
      <x:c r="K45" s="13" t="str">
        <x:v>八点固定耳三视与实际工具入口位置</x:v>
      </x:c>
    </x:row>
    <x:row r="46" ht="36" hidden="0" customHeight="1">
      <x:c r="A46" s="14" t="str">
        <x:v>S09C</x:v>
      </x:c>
      <x:c r="B46" s="14" t="str">
        <x:v>S09C 承托盒抱角 · 盒固定在钢架且可拆</x:v>
      </x:c>
      <x:c r="C46" s="14" t="str">
        <x:v>图纸 / 总成</x:v>
      </x:c>
      <x:c r="D46" s="14" t="str">
        <x:v>S09C</x:v>
      </x:c>
      <x:c r="E46" s="19" t="n">
        <x:v>39</x:v>
      </x:c>
      <x:c r="F46" s="14" t="str">
        <x:v>S09C/正视</x:v>
      </x:c>
      <x:c r="G46" s="14" t="str">
        <x:v>S09C/俯视</x:v>
      </x:c>
      <x:c r="H46" s="14" t="str">
        <x:v>S09C/右视</x:v>
      </x:c>
      <x:c r="I46" s="14" t="str">
        <x:v>三视与检修路径已绘；未经承载验算或生产放行</x:v>
      </x:c>
      <x:c r="J46" s="14" t="str">
        <x:v>S09C</x:v>
      </x:c>
      <x:c r="K46" s="14" t="str">
        <x:v>左右抱角分别三视、底托和水平紧固孔坐标</x:v>
      </x:c>
    </x:row>
    <x:row r="47" ht="36" hidden="0" customHeight="1">
      <x:c r="A47" s="13" t="str">
        <x:v>S10</x:v>
      </x:c>
      <x:c r="B47" s="13" t="str">
        <x:v>S10 中央检修盖与吊检修板 · 三视、支承及防坠</x:v>
      </x:c>
      <x:c r="C47" s="13" t="str">
        <x:v>图纸 / 总成</x:v>
      </x:c>
      <x:c r="D47" s="13" t="str">
        <x:v>S10</x:v>
      </x:c>
      <x:c r="E47" s="20" t="n">
        <x:v>40</x:v>
      </x:c>
      <x:c r="F47" s="13" t="str">
        <x:v>S10/正视</x:v>
      </x:c>
      <x:c r="G47" s="13" t="str">
        <x:v>S10/俯视</x:v>
      </x:c>
      <x:c r="H47" s="13" t="str">
        <x:v>S10/右视</x:v>
      </x:c>
      <x:c r="I47" s="13" t="str">
        <x:v>三视与检修路径已绘；未经承载验算或生产放行</x:v>
      </x:c>
      <x:c r="J47" s="13" t="str">
        <x:v>S10A、S10B</x:v>
      </x:c>
      <x:c r="K47" s="13" t="str">
        <x:v>中央盖与载盒检修板分别三视；明确实际支承和下放动作</x:v>
      </x:c>
    </x:row>
    <x:row r="48" ht="36" hidden="0" customHeight="1">
      <x:c r="A48" s="14" t="str">
        <x:v>S10C</x:v>
      </x:c>
      <x:c r="B48" s="14" t="str">
        <x:v>S10C 检修板悬臂 · 左右转向装配、焊母及防坠锚点</x:v>
      </x:c>
      <x:c r="C48" s="14" t="str">
        <x:v>图纸 / 总成</x:v>
      </x:c>
      <x:c r="D48" s="14" t="str">
        <x:v>S10C</x:v>
      </x:c>
      <x:c r="E48" s="19" t="n">
        <x:v>41</x:v>
      </x:c>
      <x:c r="F48" s="14" t="str">
        <x:v>S10C/正视</x:v>
      </x:c>
      <x:c r="G48" s="14" t="str">
        <x:v>S10C/俯视</x:v>
      </x:c>
      <x:c r="H48" s="14" t="str">
        <x:v>S10C/右视</x:v>
      </x:c>
      <x:c r="I48" s="14" t="str">
        <x:v>三视与检修路径已绘；未经承载验算或生产放行</x:v>
      </x:c>
      <x:c r="J48" s="14" t="str">
        <x:v>S10C</x:v>
      </x:c>
      <x:c r="K48" s="14" t="str">
        <x:v>悬臂三视、四处实体支承与下放吊线锚点</x:v>
      </x:c>
    </x:row>
    <x:row r="49" ht="36" hidden="0" customHeight="1">
      <x:c r="A49" s="13" t="str">
        <x:v>S10DE</x:v>
      </x:c>
      <x:c r="B49" s="13" t="str">
        <x:v>S10D 补强片 / S10E 锁接收座 · 成型三视与接触剖面</x:v>
      </x:c>
      <x:c r="C49" s="13" t="str">
        <x:v>图纸 / 总成</x:v>
      </x:c>
      <x:c r="D49" s="13" t="str">
        <x:v>S10DE</x:v>
      </x:c>
      <x:c r="E49" s="20" t="n">
        <x:v>42</x:v>
      </x:c>
      <x:c r="F49" s="13" t="str">
        <x:v>S10DE/正视</x:v>
      </x:c>
      <x:c r="G49" s="13" t="str">
        <x:v>S10DE/俯视</x:v>
      </x:c>
      <x:c r="H49" s="13" t="str">
        <x:v>S10DE/右视</x:v>
      </x:c>
      <x:c r="I49" s="13" t="str">
        <x:v>三视与检修路径已绘；未经承载验算或生产放行</x:v>
      </x:c>
      <x:c r="J49" s="13" t="str">
        <x:v>S10D、S10E</x:v>
      </x:c>
      <x:c r="K49" s="13" t="str">
        <x:v>中央盖补强片及两锁座分别三视，明确可制造形体和接触界面</x:v>
      </x:c>
    </x:row>
    <x:row r="50" ht="36" hidden="0" customHeight="1">
      <x:c r="A50" s="14" t="str">
        <x:v>E01</x:v>
      </x:c>
      <x:c r="B50" s="14" t="str">
        <x:v>电气装配导航｜先定位，再按线路号穿孔</x:v>
      </x:c>
      <x:c r="C50" s="14" t="str">
        <x:v>图纸 / 总成</x:v>
      </x:c>
      <x:c r="D50" s="14" t="str">
        <x:v>E01</x:v>
      </x:c>
      <x:c r="E50" s="19" t="n">
        <x:v>43</x:v>
      </x:c>
      <x:c r="F50" s="14" t="str">
        <x:v>E01/正视安装投影</x:v>
      </x:c>
      <x:c r="G50" s="14" t="str">
        <x:v>E01/俯视安装投影</x:v>
      </x:c>
      <x:c r="H50" s="14" t="str">
        <x:v>E01/右视安装投影</x:v>
      </x:c>
      <x:c r="I50" s="14" t="str">
        <x:v>图形与接口导航；到货/实装/保护验收未放行</x:v>
      </x:c>
      <x:c r="J50" s="14" t="str">
        <x:v>E03、E04、E08</x:v>
      </x:c>
      <x:c r="K50" s="14" t="str">
        <x:v>电气装配导航｜先定位，再按线路号穿孔</x:v>
      </x:c>
    </x:row>
    <x:row r="51" ht="36" hidden="0" customHeight="1">
      <x:c r="A51" s="13" t="str">
        <x:v>E02</x:v>
      </x:c>
      <x:c r="B51" s="13" t="str">
        <x:v>五路电气原理｜按L / N / PE分线，圆点才相连</x:v>
      </x:c>
      <x:c r="C51" s="13" t="str">
        <x:v>图纸 / 总成</x:v>
      </x:c>
      <x:c r="D51" s="13" t="str">
        <x:v>E02</x:v>
      </x:c>
      <x:c r="E51" s="20" t="n">
        <x:v>44</x:v>
      </x:c>
      <x:c r="F51" s="13" t="str">
        <x:v>E01/正视安装投影</x:v>
      </x:c>
      <x:c r="G51" s="13" t="str">
        <x:v>E01/俯视安装投影</x:v>
      </x:c>
      <x:c r="H51" s="13" t="str">
        <x:v>E01/右视安装投影</x:v>
      </x:c>
      <x:c r="I51" s="13" t="str">
        <x:v>图形与接口导航；到货/实装/保护验收未放行</x:v>
      </x:c>
      <x:c r="J51" s="13" t="str"/>
      <x:c r="K51" s="13" t="str">
        <x:v>五路电气原理｜按L / N / PE分线，圆点才相连</x:v>
      </x:c>
    </x:row>
    <x:row r="52" ht="36" hidden="0" customHeight="1">
      <x:c r="A52" s="14" t="str">
        <x:v>E03</x:v>
      </x:c>
      <x:c r="B52" s="14" t="str">
        <x:v>中央端子装配｜从端子编号找到支路与检修步骤</x:v>
      </x:c>
      <x:c r="C52" s="14" t="str">
        <x:v>图纸 / 总成</x:v>
      </x:c>
      <x:c r="D52" s="14" t="str">
        <x:v>E03</x:v>
      </x:c>
      <x:c r="E52" s="19" t="n">
        <x:v>45</x:v>
      </x:c>
      <x:c r="F52" s="14" t="str">
        <x:v>E01/正视安装投影</x:v>
      </x:c>
      <x:c r="G52" s="14" t="str">
        <x:v>E01/俯视安装投影</x:v>
      </x:c>
      <x:c r="H52" s="14" t="str">
        <x:v>E01/右视安装投影</x:v>
      </x:c>
      <x:c r="I52" s="14" t="str">
        <x:v>图形与接口导航；到货/实装/保护验收未放行</x:v>
      </x:c>
      <x:c r="J52" s="14" t="str">
        <x:v>E06、E11、E12、E13、E14、E15、E16、E21、E22、E23、E24</x:v>
      </x:c>
      <x:c r="K52" s="14" t="str">
        <x:v>中央端子装配｜从端子编号找到支路与检修步骤</x:v>
      </x:c>
    </x:row>
    <x:row r="53" ht="36" hidden="0" customHeight="1">
      <x:c r="A53" s="13" t="str">
        <x:v>E04</x:v>
      </x:c>
      <x:c r="B53" s="13" t="str">
        <x:v>入口与中央盒｜找孔号，再装护口和抗拉固定</x:v>
      </x:c>
      <x:c r="C53" s="13" t="str">
        <x:v>图纸 / 总成</x:v>
      </x:c>
      <x:c r="D53" s="13" t="str">
        <x:v>E04</x:v>
      </x:c>
      <x:c r="E53" s="20" t="n">
        <x:v>46</x:v>
      </x:c>
      <x:c r="F53" s="13" t="str">
        <x:v>E01/正视安装投影</x:v>
      </x:c>
      <x:c r="G53" s="13" t="str">
        <x:v>E01/俯视安装投影</x:v>
      </x:c>
      <x:c r="H53" s="13" t="str">
        <x:v>E01/右视安装投影</x:v>
      </x:c>
      <x:c r="I53" s="13" t="str">
        <x:v>图形与接口导航；到货/实装/保护验收未放行</x:v>
      </x:c>
      <x:c r="J53" s="13" t="str">
        <x:v>E07、E09、E10、E17、E18、E19、E20</x:v>
      </x:c>
      <x:c r="K53" s="13" t="str">
        <x:v>入口与中央盒｜找孔号，再装护口和抗拉固定</x:v>
      </x:c>
    </x:row>
    <x:row r="54" ht="36" hidden="0" customHeight="1">
      <x:c r="A54" s="14" t="str">
        <x:v>E05</x:v>
      </x:c>
      <x:c r="B54" s="14" t="str">
        <x:v>近门与远门｜W3 / W4分别穿两只C筋护口</x:v>
      </x:c>
      <x:c r="C54" s="14" t="str">
        <x:v>图纸 / 总成</x:v>
      </x:c>
      <x:c r="D54" s="14" t="str">
        <x:v>E05</x:v>
      </x:c>
      <x:c r="E54" s="19" t="n">
        <x:v>47</x:v>
      </x:c>
      <x:c r="F54" s="14" t="str">
        <x:v>E01/正视安装投影</x:v>
      </x:c>
      <x:c r="G54" s="14" t="str">
        <x:v>E01/俯视安装投影</x:v>
      </x:c>
      <x:c r="H54" s="14" t="str">
        <x:v>E01/右视安装投影</x:v>
      </x:c>
      <x:c r="I54" s="14" t="str">
        <x:v>图形与接口导航；到货/实装/保护验收未放行</x:v>
      </x:c>
      <x:c r="J54" s="14" t="str">
        <x:v>E02、E05</x:v>
      </x:c>
      <x:c r="K54" s="14" t="str">
        <x:v>近门与远门｜W3 / W4分别穿两只C筋护口</x:v>
      </x:c>
    </x:row>
    <x:row r="55" ht="36" hidden="0" customHeight="1">
      <x:c r="A55" s="13" t="str">
        <x:v>E06</x:v>
      </x:c>
      <x:c r="B55" s="13" t="str">
        <x:v>木盒与桌面｜原装线走长边孔，用户线走桌面预留孔</x:v>
      </x:c>
      <x:c r="C55" s="13" t="str">
        <x:v>图纸 / 总成</x:v>
      </x:c>
      <x:c r="D55" s="13" t="str">
        <x:v>E06</x:v>
      </x:c>
      <x:c r="E55" s="20" t="n">
        <x:v>48</x:v>
      </x:c>
      <x:c r="F55" s="13" t="str">
        <x:v>E01/正视安装投影</x:v>
      </x:c>
      <x:c r="G55" s="13" t="str">
        <x:v>E01/俯视安装投影</x:v>
      </x:c>
      <x:c r="H55" s="13" t="str">
        <x:v>E01/右视安装投影</x:v>
      </x:c>
      <x:c r="I55" s="13" t="str">
        <x:v>图形与接口导航；到货/实装/保护验收未放行</x:v>
      </x:c>
      <x:c r="J55" s="13" t="str">
        <x:v>E01</x:v>
      </x:c>
      <x:c r="K55" s="13" t="str">
        <x:v>木盒与桌面｜原装线走长边孔，用户线走桌面预留孔</x:v>
      </x:c>
    </x:row>
    <x:row r="56" ht="36" hidden="0" customHeight="1">
      <x:c r="A56" s="14" t="str">
        <x:v>H01</x:v>
      </x:c>
      <x:c r="B56" s="14" t="str">
        <x:v>H01 成品五金｜型号、数量与接口索引</x:v>
      </x:c>
      <x:c r="C56" s="14" t="str">
        <x:v>图纸 / 总成</x:v>
      </x:c>
      <x:c r="D56" s="14" t="str">
        <x:v>H01</x:v>
      </x:c>
      <x:c r="E56" s="19" t="n">
        <x:v>49</x:v>
      </x:c>
      <x:c r="F56" s="14" t="str">
        <x:v>H01 购件索引</x:v>
      </x:c>
      <x:c r="G56" s="14" t="str">
        <x:v>H01 购件索引</x:v>
      </x:c>
      <x:c r="H56" s="14" t="str">
        <x:v>H01 购件索引</x:v>
      </x:c>
      <x:c r="I56" s="14" t="str">
        <x:v>接口已绘；到货及首件配装待核</x:v>
      </x:c>
      <x:c r="J56" s="14" t="str">
        <x:v>H05、H06、B01、B03、H23、H24</x:v>
      </x:c>
      <x:c r="K56" s="14" t="str">
        <x:v>成品型号、数量和接口导航；包装量见完整采购表。</x:v>
      </x:c>
    </x:row>
    <x:row r="57" ht="36" hidden="0" customHeight="1">
      <x:c r="A57" s="13" t="str">
        <x:v>H02</x:v>
      </x:c>
      <x:c r="B57" s="13" t="str">
        <x:v>H02  桌面、调节脚及防脱紧固接口</x:v>
      </x:c>
      <x:c r="C57" s="13" t="str">
        <x:v>图纸 / 总成</x:v>
      </x:c>
      <x:c r="D57" s="13" t="str">
        <x:v>H02</x:v>
      </x:c>
      <x:c r="E57" s="20" t="n">
        <x:v>50</x:v>
      </x:c>
      <x:c r="F57" s="13" t="str">
        <x:v>H02 安装剖面</x:v>
      </x:c>
      <x:c r="G57" s="13" t="str">
        <x:v>H02 安装接口</x:v>
      </x:c>
      <x:c r="H57" s="13" t="str">
        <x:v>H02 接口控制</x:v>
      </x:c>
      <x:c r="I57" s="13" t="str">
        <x:v>接口已绘；到货及首件配装待核</x:v>
      </x:c>
      <x:c r="J57" s="13" t="str">
        <x:v>H01、H02、H09、H10、H11、H13、H14、H15、H16、H17、H18、H22</x:v>
      </x:c>
      <x:c r="K57" s="13" t="str">
        <x:v>8点可拆桌面、8只薄脚、4点盖和4点吊板防脱的实际厚度堆叠与螺纹啮合。</x:v>
      </x:c>
    </x:row>
    <x:row r="58" ht="36" hidden="0" customHeight="1">
      <x:c r="A58" s="14" t="str">
        <x:v>H03</x:v>
      </x:c>
      <x:c r="B58" s="14" t="str">
        <x:v>H03  检修门、工具锁与小翻盖安装接口</x:v>
      </x:c>
      <x:c r="C58" s="14" t="str">
        <x:v>图纸 / 总成</x:v>
      </x:c>
      <x:c r="D58" s="14" t="str">
        <x:v>H03</x:v>
      </x:c>
      <x:c r="E58" s="19" t="n">
        <x:v>51</x:v>
      </x:c>
      <x:c r="F58" s="14" t="str">
        <x:v>H03 安装剖面</x:v>
      </x:c>
      <x:c r="G58" s="14" t="str">
        <x:v>H03 安装接口</x:v>
      </x:c>
      <x:c r="H58" s="14" t="str">
        <x:v>H03 接口控制</x:v>
      </x:c>
      <x:c r="I58" s="14" t="str">
        <x:v>接口已绘；到货及首件配装待核</x:v>
      </x:c>
      <x:c r="J58" s="14" t="str">
        <x:v>H03、H04、H07、H12、H19、H20、H21</x:v>
      </x:c>
      <x:c r="K58" s="14" t="str">
        <x:v>可抽轴门合页开孔、转舌锁开孔/接收高度、桶铰顶装及翻盖独立承托。</x:v>
      </x:c>
    </x:row>
    <x:row r="59" ht="36" hidden="0" customHeight="1">
      <x:c r="A59" s="13" t="str">
        <x:v>A06</x:v>
      </x:c>
      <x:c r="B59" s="13" t="str">
        <x:v>A06  成品小孔衬套与闲置孔盖装配接口</x:v>
      </x:c>
      <x:c r="C59" s="13" t="str">
        <x:v>图纸 / 总成</x:v>
      </x:c>
      <x:c r="D59" s="13" t="str">
        <x:v>A06</x:v>
      </x:c>
      <x:c r="E59" s="20" t="n">
        <x:v>52</x:v>
      </x:c>
      <x:c r="F59" s="13" t="str">
        <x:v>A06 轴向剖面</x:v>
      </x:c>
      <x:c r="G59" s="13" t="str">
        <x:v>A06 俯视图</x:v>
      </x:c>
      <x:c r="H59" s="13" t="str">
        <x:v>A06 轴对称右视</x:v>
      </x:c>
      <x:c r="I59" s="13" t="str">
        <x:v>接口已绘；到货及首件配装待核</x:v>
      </x:c>
      <x:c r="J59" s="13" t="str">
        <x:v>A06、H25、H26</x:v>
      </x:c>
      <x:c r="K59" s="13" t="str">
        <x:v>外购CHC-S18BL替代原机加工护套；φ14安装孔与φ12盖配合、法兰高度控制。</x:v>
      </x:c>
    </x:row>
    <x:row r="60" ht="36" hidden="0" customHeight="1">
      <x:c r="A60" s="14" t="str">
        <x:v>A01</x:v>
      </x:c>
      <x:c r="B60" s="14" t="str">
        <x:v>体验桌总装</x:v>
      </x:c>
      <x:c r="C60" s="14" t="str">
        <x:v>装配</x:v>
      </x:c>
      <x:c r="D60" s="14" t="str">
        <x:v>A01</x:v>
      </x:c>
      <x:c r="E60" s="19" t="n">
        <x:v>4</x:v>
      </x:c>
      <x:c r="F60" s="14" t="str">
        <x:v>本页正视</x:v>
      </x:c>
      <x:c r="G60" s="14" t="str">
        <x:v>本页俯视</x:v>
      </x:c>
      <x:c r="H60" s="14" t="str">
        <x:v>本页右视</x:v>
      </x:c>
      <x:c r="I60" s="14" t="str">
        <x:v>图纸数字核对；实物首件未执行</x:v>
      </x:c>
      <x:c r="J60" s="14" t="str">
        <x:v>整桌</x:v>
      </x:c>
      <x:c r="K60" s="14" t="str">
        <x:v>总成数量不重复计入领料</x:v>
      </x:c>
    </x:row>
    <x:row r="61" ht="36" hidden="0" customHeight="1">
      <x:c r="A61" s="13" t="str">
        <x:v>A04</x:v>
      </x:c>
      <x:c r="B61" s="13" t="str">
        <x:v>焊接钢结构总成</x:v>
      </x:c>
      <x:c r="C61" s="13" t="str">
        <x:v>装配</x:v>
      </x:c>
      <x:c r="D61" s="13" t="str">
        <x:v>A04</x:v>
      </x:c>
      <x:c r="E61" s="20" t="n">
        <x:v>17</x:v>
      </x:c>
      <x:c r="F61" s="13" t="str">
        <x:v>本页正视</x:v>
      </x:c>
      <x:c r="G61" s="13" t="str">
        <x:v>本页俯视</x:v>
      </x:c>
      <x:c r="H61" s="13" t="str">
        <x:v>本页右视</x:v>
      </x:c>
      <x:c r="I61" s="13" t="str">
        <x:v>图纸数字核对；实物首件未执行</x:v>
      </x:c>
      <x:c r="J61" s="13" t="str">
        <x:v>A01</x:v>
      </x:c>
      <x:c r="K61" s="13" t="str">
        <x:v>总成数量不重复计入领料</x:v>
      </x:c>
    </x:row>
    <x:row r="62" ht="36" hidden="0" customHeight="1">
      <x:c r="A62" s="14" t="str">
        <x:v>A03</x:v>
      </x:c>
      <x:c r="B62" s="14" t="str">
        <x:v>桌面翻盖总成</x:v>
      </x:c>
      <x:c r="C62" s="14" t="str">
        <x:v>装配</x:v>
      </x:c>
      <x:c r="D62" s="14" t="str">
        <x:v>A03</x:v>
      </x:c>
      <x:c r="E62" s="19" t="n">
        <x:v>18</x:v>
      </x:c>
      <x:c r="F62" s="14" t="str">
        <x:v>A03/正视/第18页</x:v>
      </x:c>
      <x:c r="G62" s="14" t="str">
        <x:v>A03/俯视/第18页</x:v>
      </x:c>
      <x:c r="H62" s="14" t="str">
        <x:v>A03/右视/第18页</x:v>
      </x:c>
      <x:c r="I62" s="14" t="str">
        <x:v>成型三视已绘；五金安装按实物配孔</x:v>
      </x:c>
      <x:c r="J62" s="14" t="str">
        <x:v>A01</x:v>
      </x:c>
      <x:c r="K62" s="14" t="str">
        <x:v>成品含封边；R02护口孔Ø14+0.5/0；底面八点M6嵌母，按D01定位。取消原12处木螺钉孔。</x:v>
      </x:c>
    </x:row>
    <x:row r="63" ht="36" hidden="0" customHeight="1">
      <x:c r="A63" s="13" t="str">
        <x:v>A05</x:v>
      </x:c>
      <x:c r="B63" s="13" t="str">
        <x:v>翻盖承托盒总成</x:v>
      </x:c>
      <x:c r="C63" s="13" t="str">
        <x:v>装配</x:v>
      </x:c>
      <x:c r="D63" s="13" t="str">
        <x:v>A05</x:v>
      </x:c>
      <x:c r="E63" s="20" t="n">
        <x:v>19</x:v>
      </x:c>
      <x:c r="F63" s="13" t="str">
        <x:v>A05/正视/第19页</x:v>
      </x:c>
      <x:c r="G63" s="13" t="str">
        <x:v>A05/俯视/第19页</x:v>
      </x:c>
      <x:c r="H63" s="13" t="str">
        <x:v>A05/右视/第19页</x:v>
      </x:c>
      <x:c r="I63" s="13" t="str">
        <x:v>成型三视已绘；五金安装按实物配孔</x:v>
      </x:c>
      <x:c r="J63" s="13" t="str">
        <x:v>A04</x:v>
      </x:c>
      <x:c r="K63" s="13" t="str">
        <x:v>盒留钢架；W03A长侧φ50孔朝Y485，孔心Z842。</x:v>
      </x:c>
    </x:row>
    <x:row r="64" ht="36" hidden="0" customHeight="1">
      <x:c r="A64" s="14" t="str">
        <x:v>W01</x:v>
      </x:c>
      <x:c r="B64" s="14" t="str">
        <x:v>桌面主板</x:v>
      </x:c>
      <x:c r="C64" s="14" t="str">
        <x:v>木作</x:v>
      </x:c>
      <x:c r="D64" s="14" t="str">
        <x:v>W01</x:v>
      </x:c>
      <x:c r="E64" s="19" t="n">
        <x:v>20</x:v>
      </x:c>
      <x:c r="F64" s="14" t="str">
        <x:v>W01/正视/第20页</x:v>
      </x:c>
      <x:c r="G64" s="14" t="str">
        <x:v>W01/俯视/第20页</x:v>
      </x:c>
      <x:c r="H64" s="14" t="str">
        <x:v>W01/右视/第20页</x:v>
      </x:c>
      <x:c r="I64" s="14" t="str">
        <x:v>成型三视已绘；五金安装按实物配孔</x:v>
      </x:c>
      <x:c r="J64" s="14" t="str">
        <x:v>A03</x:v>
      </x:c>
      <x:c r="K64" s="14" t="str">
        <x:v>成品含封边；R02护口孔Ø14+0.5/0；底面八点M6嵌母，按D01定位。取消原12处木螺钉孔。</x:v>
      </x:c>
    </x:row>
    <x:row r="65" ht="36" hidden="0" customHeight="1">
      <x:c r="A65" s="13" t="str">
        <x:v>W02A</x:v>
      </x:c>
      <x:c r="B65" s="13" t="str">
        <x:v>桌面有槽翻盖板</x:v>
      </x:c>
      <x:c r="C65" s="13" t="str">
        <x:v>木作</x:v>
      </x:c>
      <x:c r="D65" s="13" t="str">
        <x:v>W02</x:v>
      </x:c>
      <x:c r="E65" s="20" t="n">
        <x:v>21</x:v>
      </x:c>
      <x:c r="F65" s="13" t="str">
        <x:v>W02/正视/第21页</x:v>
      </x:c>
      <x:c r="G65" s="13" t="str">
        <x:v>W02/俯视/第21页</x:v>
      </x:c>
      <x:c r="H65" s="13" t="str">
        <x:v>W02/右视/第21页</x:v>
      </x:c>
      <x:c r="I65" s="13" t="str">
        <x:v>成型三视已绘；五金安装按实物配孔</x:v>
      </x:c>
      <x:c r="J65" s="13" t="str">
        <x:v>A03</x:v>
      </x:c>
      <x:c r="K65" s="13" t="str">
        <x:v>源D 0x8469…0x846e；R01长度298；安装在开口Y低值侧，槽口朝中央毛刷。</x:v>
      </x:c>
    </x:row>
    <x:row r="66" ht="36" hidden="0" customHeight="1">
      <x:c r="A66" s="14" t="str">
        <x:v>W02B</x:v>
      </x:c>
      <x:c r="B66" s="14" t="str">
        <x:v>桌面实截面翻盖板</x:v>
      </x:c>
      <x:c r="C66" s="14" t="str">
        <x:v>木作</x:v>
      </x:c>
      <x:c r="D66" s="14" t="str">
        <x:v>W02</x:v>
      </x:c>
      <x:c r="E66" s="19" t="n">
        <x:v>21</x:v>
      </x:c>
      <x:c r="F66" s="14" t="str">
        <x:v>W02/正视/第21页</x:v>
      </x:c>
      <x:c r="G66" s="14" t="str">
        <x:v>W02/俯视/第21页</x:v>
      </x:c>
      <x:c r="H66" s="14" t="str">
        <x:v>W02/右视/第21页</x:v>
      </x:c>
      <x:c r="I66" s="14" t="str">
        <x:v>成型三视已绘；五金安装按实物配孔</x:v>
      </x:c>
      <x:c r="J66" s="14" t="str">
        <x:v>A03</x:v>
      </x:c>
      <x:c r="K66" s="14" t="str">
        <x:v>源D 0x8465…0x8468；R01长度298；安装在开口Y高值侧，不复制A盖让位槽。</x:v>
      </x:c>
    </x:row>
    <x:row r="67" ht="36" hidden="0" customHeight="1">
      <x:c r="A67" s="13" t="str">
        <x:v>W03</x:v>
      </x:c>
      <x:c r="B67" s="13" t="str">
        <x:v>承托盒长侧板（无孔）</x:v>
      </x:c>
      <x:c r="C67" s="13" t="str">
        <x:v>木作</x:v>
      </x:c>
      <x:c r="D67" s="13" t="str">
        <x:v>W03</x:v>
      </x:c>
      <x:c r="E67" s="20" t="n">
        <x:v>22</x:v>
      </x:c>
      <x:c r="F67" s="13" t="str">
        <x:v>W03/正视/第22页</x:v>
      </x:c>
      <x:c r="G67" s="13" t="str">
        <x:v>W03/俯视/第22页</x:v>
      </x:c>
      <x:c r="H67" s="13" t="str">
        <x:v>W03/右视/第22页</x:v>
      </x:c>
      <x:c r="I67" s="13" t="str">
        <x:v>成型三视已绘；五金安装按实物配孔</x:v>
      </x:c>
      <x:c r="J67" s="13" t="str">
        <x:v>A05</x:v>
      </x:c>
      <x:c r="K67" s="13" t="str">
        <x:v>远侧Y700..715，每盒1片。</x:v>
      </x:c>
    </x:row>
    <x:row r="68" ht="36" hidden="0" customHeight="1">
      <x:c r="A68" s="14" t="str">
        <x:v>W03A</x:v>
      </x:c>
      <x:c r="B68" s="14" t="str">
        <x:v>承托盒长侧板（有孔）</x:v>
      </x:c>
      <x:c r="C68" s="14" t="str">
        <x:v>木作</x:v>
      </x:c>
      <x:c r="D68" s="14" t="str">
        <x:v>W03</x:v>
      </x:c>
      <x:c r="E68" s="19" t="n">
        <x:v>22</x:v>
      </x:c>
      <x:c r="F68" s="14" t="str">
        <x:v>W03/正视/第22页</x:v>
      </x:c>
      <x:c r="G68" s="14" t="str">
        <x:v>W03/俯视/第22页</x:v>
      </x:c>
      <x:c r="H68" s="14" t="str">
        <x:v>W03/右视/第22页</x:v>
      </x:c>
      <x:c r="I68" s="14" t="str">
        <x:v>成型三视已绘；五金安装按实物配孔</x:v>
      </x:c>
      <x:c r="J68" s="14" t="str">
        <x:v>A05</x:v>
      </x:c>
      <x:c r="K68" s="14" t="str">
        <x:v>近侧Y485..500；孔心全局(600/1400,492.5,842)，孔朝-Y。</x:v>
      </x:c>
    </x:row>
    <x:row r="69" ht="36" hidden="0" customHeight="1">
      <x:c r="A69" s="13" t="str">
        <x:v>W04B</x:v>
      </x:c>
      <x:c r="B69" s="13" t="str">
        <x:v>承托盒短侧板</x:v>
      </x:c>
      <x:c r="C69" s="13" t="str">
        <x:v>木作</x:v>
      </x:c>
      <x:c r="D69" s="13" t="str">
        <x:v>W04</x:v>
      </x:c>
      <x:c r="E69" s="20" t="n">
        <x:v>23</x:v>
      </x:c>
      <x:c r="F69" s="13" t="str">
        <x:v>W04/正视/第23页</x:v>
      </x:c>
      <x:c r="G69" s="13" t="str">
        <x:v>W04/俯视/第23页</x:v>
      </x:c>
      <x:c r="H69" s="13" t="str">
        <x:v>W04/右视/第23页</x:v>
      </x:c>
      <x:c r="I69" s="13" t="str">
        <x:v>成型三视已绘；五金安装按实物配孔</x:v>
      </x:c>
      <x:c r="J69" s="13" t="str">
        <x:v>A05</x:v>
      </x:c>
      <x:c r="K69" s="13" t="str">
        <x:v>固定孔u25/175 v24；承托盲孔u52/148 v64.77/77.77。无过线孔。</x:v>
      </x:c>
    </x:row>
    <x:row r="70" ht="36" hidden="0" customHeight="1">
      <x:c r="A70" s="14" t="str">
        <x:v>W05</x:v>
      </x:c>
      <x:c r="B70" s="14" t="str">
        <x:v>承托盒底板</x:v>
      </x:c>
      <x:c r="C70" s="14" t="str">
        <x:v>木作</x:v>
      </x:c>
      <x:c r="D70" s="14" t="str">
        <x:v>W05</x:v>
      </x:c>
      <x:c r="E70" s="19" t="n">
        <x:v>24</x:v>
      </x:c>
      <x:c r="F70" s="14" t="str">
        <x:v>W05/正视/第24页</x:v>
      </x:c>
      <x:c r="G70" s="14" t="str">
        <x:v>W05/俯视/第24页</x:v>
      </x:c>
      <x:c r="H70" s="14" t="str">
        <x:v>W05/右视/第24页</x:v>
      </x:c>
      <x:c r="I70" s="14" t="str">
        <x:v>成型三视已绘；五金安装按实物配孔</x:v>
      </x:c>
      <x:c r="J70" s="14" t="str">
        <x:v>A05</x:v>
      </x:c>
      <x:c r="K70" s="14" t="str">
        <x:v>T5为源D节点实线归一结果；材质选用在R01声明。</x:v>
      </x:c>
    </x:row>
    <x:row r="71" ht="36" hidden="0" customHeight="1">
      <x:c r="A71" s="13" t="str">
        <x:v>S01</x:v>
      </x:c>
      <x:c r="B71" s="13" t="str">
        <x:v>长边斜腹板</x:v>
      </x:c>
      <x:c r="C71" s="13" t="str">
        <x:v>钣金</x:v>
      </x:c>
      <x:c r="D71" s="13" t="str">
        <x:v>S01</x:v>
      </x:c>
      <x:c r="E71" s="20" t="n">
        <x:v>26</x:v>
      </x:c>
      <x:c r="F71" s="13" t="str">
        <x:v>本页正视</x:v>
      </x:c>
      <x:c r="G71" s="13" t="str">
        <x:v>本页俯视</x:v>
      </x:c>
      <x:c r="H71" s="13" t="str">
        <x:v>本页右视</x:v>
      </x:c>
      <x:c r="I71" s="13" t="str">
        <x:v>成型控制；展开补偿按设备首件</x:v>
      </x:c>
      <x:c r="J71" s="13" t="str">
        <x:v>A04</x:v>
      </x:c>
      <x:c r="K71" s="13" t="str">
        <x:v>颜色、光泽、焊缝处理按样板；去毛刺、不得割手</x:v>
      </x:c>
    </x:row>
    <x:row r="72" ht="36" hidden="0" customHeight="1">
      <x:c r="A72" s="14" t="str">
        <x:v>S02</x:v>
      </x:c>
      <x:c r="B72" s="14" t="str">
        <x:v>短边斜腹板</x:v>
      </x:c>
      <x:c r="C72" s="14" t="str">
        <x:v>钣金</x:v>
      </x:c>
      <x:c r="D72" s="14" t="str">
        <x:v>S02</x:v>
      </x:c>
      <x:c r="E72" s="19" t="n">
        <x:v>27</x:v>
      </x:c>
      <x:c r="F72" s="14" t="str">
        <x:v>本页正视</x:v>
      </x:c>
      <x:c r="G72" s="14" t="str">
        <x:v>本页俯视</x:v>
      </x:c>
      <x:c r="H72" s="14" t="str">
        <x:v>本页右视</x:v>
      </x:c>
      <x:c r="I72" s="14" t="str">
        <x:v>成型控制；展开补偿按设备首件</x:v>
      </x:c>
      <x:c r="J72" s="14" t="str">
        <x:v>A04</x:v>
      </x:c>
      <x:c r="K72" s="14" t="str">
        <x:v>颜色、光泽、焊缝处理按样板；去毛刺、不得割手</x:v>
      </x:c>
    </x:row>
    <x:row r="73" ht="36" hidden="0" customHeight="1">
      <x:c r="A73" s="13" t="str">
        <x:v>A07</x:v>
      </x:c>
      <x:c r="B73" s="13" t="str">
        <x:v>刀形桌腿焊接总成</x:v>
      </x:c>
      <x:c r="C73" s="13" t="str">
        <x:v>装配</x:v>
      </x:c>
      <x:c r="D73" s="13" t="str">
        <x:v>A07</x:v>
      </x:c>
      <x:c r="E73" s="20" t="n">
        <x:v>28</x:v>
      </x:c>
      <x:c r="F73" s="13" t="str">
        <x:v>本页正视</x:v>
      </x:c>
      <x:c r="G73" s="13" t="str">
        <x:v>本页俯视</x:v>
      </x:c>
      <x:c r="H73" s="13" t="str">
        <x:v>本页右视</x:v>
      </x:c>
      <x:c r="I73" s="13" t="str">
        <x:v>R01分片与高度修正</x:v>
      </x:c>
      <x:c r="J73" s="13" t="str">
        <x:v>A04</x:v>
      </x:c>
      <x:c r="K73" s="13" t="str">
        <x:v>颜色、光泽、焊缝处理按样板；去毛刺、不得割手</x:v>
      </x:c>
    </x:row>
    <x:row r="74" ht="36" hidden="0" customHeight="1">
      <x:c r="A74" s="14" t="str">
        <x:v>S03A</x:v>
      </x:c>
      <x:c r="B74" s="14" t="str">
        <x:v>刀形腿开口壳</x:v>
      </x:c>
      <x:c r="C74" s="14" t="str">
        <x:v>钣金</x:v>
      </x:c>
      <x:c r="D74" s="14" t="str">
        <x:v>S03A</x:v>
      </x:c>
      <x:c r="E74" s="19" t="n">
        <x:v>29</x:v>
      </x:c>
      <x:c r="F74" s="14" t="str">
        <x:v>本页正视</x:v>
      </x:c>
      <x:c r="G74" s="14" t="str">
        <x:v>本页俯视</x:v>
      </x:c>
      <x:c r="H74" s="14" t="str">
        <x:v>本页右视</x:v>
      </x:c>
      <x:c r="I74" s="14" t="str">
        <x:v>成型控制；首件顶口放样</x:v>
      </x:c>
      <x:c r="J74" s="14" t="str">
        <x:v>A07</x:v>
      </x:c>
      <x:c r="K74" s="14" t="str">
        <x:v>颜色、光泽、焊缝处理按样板；去毛刺、不得割手</x:v>
      </x:c>
    </x:row>
    <x:row r="75" ht="36" hidden="0" customHeight="1">
      <x:c r="A75" s="13" t="str">
        <x:v>S03B</x:v>
      </x:c>
      <x:c r="B75" s="13" t="str">
        <x:v>刀形腿内端封板</x:v>
      </x:c>
      <x:c r="C75" s="13" t="str">
        <x:v>钣金</x:v>
      </x:c>
      <x:c r="D75" s="13" t="str">
        <x:v>S03BC</x:v>
      </x:c>
      <x:c r="E75" s="20" t="n">
        <x:v>30</x:v>
      </x:c>
      <x:c r="F75" s="13" t="str">
        <x:v>本页正视</x:v>
      </x:c>
      <x:c r="G75" s="13" t="str">
        <x:v>本页俯视</x:v>
      </x:c>
      <x:c r="H75" s="13" t="str">
        <x:v>本页右视</x:v>
      </x:c>
      <x:c r="I75" s="13" t="str">
        <x:v>成型控制；展开补偿按设备首件</x:v>
      </x:c>
      <x:c r="J75" s="13" t="str">
        <x:v>A07</x:v>
      </x:c>
      <x:c r="K75" s="13" t="str">
        <x:v>颜色、光泽、焊缝处理按样板；去毛刺、不得割手</x:v>
      </x:c>
    </x:row>
    <x:row r="76" ht="36" hidden="0" customHeight="1">
      <x:c r="A76" s="14" t="str">
        <x:v>S03C</x:v>
      </x:c>
      <x:c r="B76" s="14" t="str">
        <x:v>刀形腿底封板</x:v>
      </x:c>
      <x:c r="C76" s="14" t="str">
        <x:v>钣金</x:v>
      </x:c>
      <x:c r="D76" s="14" t="str">
        <x:v>S03BC</x:v>
      </x:c>
      <x:c r="E76" s="19" t="n">
        <x:v>30</x:v>
      </x:c>
      <x:c r="F76" s="14" t="str">
        <x:v>本页正视</x:v>
      </x:c>
      <x:c r="G76" s="14" t="str">
        <x:v>本页俯视</x:v>
      </x:c>
      <x:c r="H76" s="14" t="str">
        <x:v>本页右视</x:v>
      </x:c>
      <x:c r="I76" s="14" t="str">
        <x:v>配切件；按首件成型内腔</x:v>
      </x:c>
      <x:c r="J76" s="14" t="str">
        <x:v>A07</x:v>
      </x:c>
      <x:c r="K76" s="14" t="str">
        <x:v>颜色、光泽、焊缝处理按样板；去毛刺、不得割手</x:v>
      </x:c>
    </x:row>
    <x:row r="77" ht="36" hidden="0" customHeight="1">
      <x:c r="A77" s="13" t="str">
        <x:v>S04</x:v>
      </x:c>
      <x:c r="B77" s="13" t="str">
        <x:v>桌肚四边折边底盘</x:v>
      </x:c>
      <x:c r="C77" s="13" t="str">
        <x:v>钣金</x:v>
      </x:c>
      <x:c r="D77" s="13" t="str">
        <x:v>S04</x:v>
      </x:c>
      <x:c r="E77" s="20" t="n">
        <x:v>31</x:v>
      </x:c>
      <x:c r="F77" s="13" t="str">
        <x:v>本页正视</x:v>
      </x:c>
      <x:c r="G77" s="13" t="str">
        <x:v>本页俯视</x:v>
      </x:c>
      <x:c r="H77" s="13" t="str">
        <x:v>本页右视</x:v>
      </x:c>
      <x:c r="I77" s="13" t="str">
        <x:v>R02门框、X0与中央口接口；展开按实际折弯补偿</x:v>
      </x:c>
      <x:c r="J77" s="13" t="str">
        <x:v>A04</x:v>
      </x:c>
      <x:c r="K77" s="13" t="str">
        <x:v>颜色、光泽、焊缝处理按样板；去毛刺、不得割手</x:v>
      </x:c>
    </x:row>
    <x:row r="78" ht="36" hidden="0" customHeight="1">
      <x:c r="A78" s="14" t="str">
        <x:v>S07</x:v>
      </x:c>
      <x:c r="B78" s="14" t="str">
        <x:v>桌肚检修门</x:v>
      </x:c>
      <x:c r="C78" s="14" t="str">
        <x:v>钣金</x:v>
      </x:c>
      <x:c r="D78" s="14" t="str">
        <x:v>S07</x:v>
      </x:c>
      <x:c r="E78" s="19" t="n">
        <x:v>32</x:v>
      </x:c>
      <x:c r="F78" s="14" t="str">
        <x:v>本页正视</x:v>
      </x:c>
      <x:c r="G78" s="14" t="str">
        <x:v>本页俯视</x:v>
      </x:c>
      <x:c r="H78" s="14" t="str">
        <x:v>本页右视</x:v>
      </x:c>
      <x:c r="I78" s="14" t="str">
        <x:v>成品型号孔图已纳入；到货同版复核</x:v>
      </x:c>
      <x:c r="J78" s="14" t="str">
        <x:v>A04</x:v>
      </x:c>
      <x:c r="K78" s="14" t="str">
        <x:v>颜色、光泽、焊缝处理按样板；去毛刺、不得割手</x:v>
      </x:c>
    </x:row>
    <x:row r="79" ht="36" hidden="0" customHeight="1">
      <x:c r="A79" s="13" t="str">
        <x:v>S05</x:v>
      </x:c>
      <x:c r="B79" s="13" t="str">
        <x:v>长向C型加强筋</x:v>
      </x:c>
      <x:c r="C79" s="13" t="str">
        <x:v>钣金制造件</x:v>
      </x:c>
      <x:c r="D79" s="13" t="str">
        <x:v>S05</x:v>
      </x:c>
      <x:c r="E79" s="20" t="n">
        <x:v>33</x:v>
      </x:c>
      <x:c r="F79" s="13" t="str">
        <x:v>S05 正视图</x:v>
      </x:c>
      <x:c r="G79" s="13" t="str">
        <x:v>S05 俯视图</x:v>
      </x:c>
      <x:c r="H79" s="13" t="str">
        <x:v>S05 右视图</x:v>
      </x:c>
      <x:c r="I79" s="13" t="str">
        <x:v>成型已绘；工艺试制待核</x:v>
      </x:c>
      <x:c r="J79" s="13" t="str">
        <x:v>A04</x:v>
      </x:c>
      <x:c r="K79" s="13" t="str">
        <x:v>每桌2根；唇边13，C口相向；净430/外跨490。端接口、折弯补偿与焊接收缩未放行。</x:v>
      </x:c>
    </x:row>
    <x:row r="80" ht="36" hidden="0" customHeight="1">
      <x:c r="A80" s="14" t="str">
        <x:v>S06</x:v>
      </x:c>
      <x:c r="B80" s="14" t="str">
        <x:v>U型卡槽</x:v>
      </x:c>
      <x:c r="C80" s="14" t="str">
        <x:v>钣金制造件</x:v>
      </x:c>
      <x:c r="D80" s="14" t="str">
        <x:v>S06</x:v>
      </x:c>
      <x:c r="E80" s="19" t="n">
        <x:v>34</x:v>
      </x:c>
      <x:c r="F80" s="14" t="str">
        <x:v>S06 正视图</x:v>
      </x:c>
      <x:c r="G80" s="14" t="str">
        <x:v>S06 俯视图</x:v>
      </x:c>
      <x:c r="H80" s="14" t="str">
        <x:v>S06 右视图</x:v>
      </x:c>
      <x:c r="I80" s="14" t="str">
        <x:v>成型已绘；工艺试制待核</x:v>
      </x:c>
      <x:c r="J80" s="14" t="str">
        <x:v>A04</x:v>
      </x:c>
      <x:c r="K80" s="14" t="str">
        <x:v>底宽不含外翻唇；中心(315.5,595)/(1674.5,595)，相距1359；先试卡，展开补偿待核。</x:v>
      </x:c>
    </x:row>
    <x:row r="81" ht="36" hidden="0" customHeight="1">
      <x:c r="A81" s="13" t="str">
        <x:v>A08</x:v>
      </x:c>
      <x:c r="B81" s="13" t="str">
        <x:v>桌肚内部加强与检修总成</x:v>
      </x:c>
      <x:c r="C81" s="13" t="str">
        <x:v>装配</x:v>
      </x:c>
      <x:c r="D81" s="13" t="str">
        <x:v>A08</x:v>
      </x:c>
      <x:c r="E81" s="20" t="n">
        <x:v>35</x:v>
      </x:c>
      <x:c r="F81" s="13" t="str">
        <x:v>A08/正视</x:v>
      </x:c>
      <x:c r="G81" s="13" t="str">
        <x:v>A08/俯视</x:v>
      </x:c>
      <x:c r="H81" s="13" t="str">
        <x:v>A08/右视</x:v>
      </x:c>
      <x:c r="I81" s="13" t="str">
        <x:v>R02成型与检修包络；承载/连接强度/首件未验证</x:v>
      </x:c>
      <x:c r="J81" s="13" t="str">
        <x:v>A04</x:v>
      </x:c>
      <x:c r="K81" s="13" t="str">
        <x:v>装配项不重复领料；首件与载荷待核</x:v>
      </x:c>
    </x:row>
    <x:row r="82" ht="36" hidden="0" customHeight="1">
      <x:c r="A82" s="14" t="str">
        <x:v>S08</x:v>
      </x:c>
      <x:c r="B82" s="14" t="str">
        <x:v>可拆横梁焊接总成</x:v>
      </x:c>
      <x:c r="C82" s="14" t="str">
        <x:v>装配</x:v>
      </x:c>
      <x:c r="D82" s="14" t="str">
        <x:v>S08</x:v>
      </x:c>
      <x:c r="E82" s="19" t="n">
        <x:v>36</x:v>
      </x:c>
      <x:c r="F82" s="14" t="str">
        <x:v>S08/正视</x:v>
      </x:c>
      <x:c r="G82" s="14" t="str">
        <x:v>S08/俯视</x:v>
      </x:c>
      <x:c r="H82" s="14" t="str">
        <x:v>S08/右视</x:v>
      </x:c>
      <x:c r="I82" s="14" t="str">
        <x:v>R02成型与检修包络；承载/连接强度/首件未验证</x:v>
      </x:c>
      <x:c r="J82" s="14" t="str">
        <x:v>A08</x:v>
      </x:c>
      <x:c r="K82" s="14" t="str">
        <x:v>4×M6/组；子件另计</x:v>
      </x:c>
    </x:row>
    <x:row r="83" ht="36" hidden="0" customHeight="1">
      <x:c r="A83" s="13" t="str">
        <x:v>S08A</x:v>
      </x:c>
      <x:c r="B83" s="13" t="str">
        <x:v>横梁矩管身</x:v>
      </x:c>
      <x:c r="C83" s="13" t="str">
        <x:v>钣金制造件</x:v>
      </x:c>
      <x:c r="D83" s="13" t="str">
        <x:v>S08</x:v>
      </x:c>
      <x:c r="E83" s="20" t="n">
        <x:v>36</x:v>
      </x:c>
      <x:c r="F83" s="13" t="str">
        <x:v>S08/正视</x:v>
      </x:c>
      <x:c r="G83" s="13" t="str">
        <x:v>S08/俯视</x:v>
      </x:c>
      <x:c r="H83" s="13" t="str">
        <x:v>S08/右视</x:v>
      </x:c>
      <x:c r="I83" s="13" t="str">
        <x:v>R02成型与检修包络；承载/连接强度/首件未验证</x:v>
      </x:c>
      <x:c r="J83" s="13" t="str">
        <x:v>S08</x:v>
      </x:c>
      <x:c r="K83" s="13" t="str">
        <x:v>截面是初选；不能据此宣称承载通过</x:v>
      </x:c>
    </x:row>
    <x:row r="84" ht="36" hidden="0" customHeight="1">
      <x:c r="A84" s="14" t="str">
        <x:v>S09A</x:v>
      </x:c>
      <x:c r="B84" s="14" t="str">
        <x:v>可拆横梁端板</x:v>
      </x:c>
      <x:c r="C84" s="14" t="str">
        <x:v>钣金制造件</x:v>
      </x:c>
      <x:c r="D84" s="14" t="str">
        <x:v>S09A</x:v>
      </x:c>
      <x:c r="E84" s="19" t="n">
        <x:v>37</x:v>
      </x:c>
      <x:c r="F84" s="14" t="str">
        <x:v>S09A/正视</x:v>
      </x:c>
      <x:c r="G84" s="14" t="str">
        <x:v>S09A/俯视</x:v>
      </x:c>
      <x:c r="H84" s="14" t="str">
        <x:v>S09A/右视</x:v>
      </x:c>
      <x:c r="I84" s="14" t="str">
        <x:v>R02成型与检修包络；承载/连接强度/首件未验证</x:v>
      </x:c>
      <x:c r="J84" s="14" t="str">
        <x:v>S08</x:v>
      </x:c>
      <x:c r="K84" s="14" t="str"/>
    </x:row>
    <x:row r="85" ht="36" hidden="0" customHeight="1">
      <x:c r="A85" s="13" t="str">
        <x:v>S09B</x:v>
      </x:c>
      <x:c r="B85" s="13" t="str">
        <x:v>桌面M6固定耳</x:v>
      </x:c>
      <x:c r="C85" s="13" t="str">
        <x:v>钣金制造件</x:v>
      </x:c>
      <x:c r="D85" s="13" t="str">
        <x:v>S09B</x:v>
      </x:c>
      <x:c r="E85" s="20" t="n">
        <x:v>38</x:v>
      </x:c>
      <x:c r="F85" s="13" t="str">
        <x:v>S09B/正视</x:v>
      </x:c>
      <x:c r="G85" s="13" t="str">
        <x:v>S09B/俯视</x:v>
      </x:c>
      <x:c r="H85" s="13" t="str">
        <x:v>S09B/右视</x:v>
      </x:c>
      <x:c r="I85" s="13" t="str">
        <x:v>R02成型与检修包络；承载/连接强度/首件未验证</x:v>
      </x:c>
      <x:c r="J85" s="13" t="str">
        <x:v>A08</x:v>
      </x:c>
      <x:c r="K85" s="13" t="str">
        <x:v>顶面Z882；沿两C筋外侧焊接；旧木螺钉接口取消</x:v>
      </x:c>
    </x:row>
    <x:row r="86" ht="36" hidden="0" customHeight="1">
      <x:c r="A86" s="14" t="str">
        <x:v>S09C</x:v>
      </x:c>
      <x:c r="B86" s="14" t="str">
        <x:v>承托盒抱角</x:v>
      </x:c>
      <x:c r="C86" s="14" t="str">
        <x:v>钣金制造件</x:v>
      </x:c>
      <x:c r="D86" s="14" t="str">
        <x:v>S09C</x:v>
      </x:c>
      <x:c r="E86" s="19" t="n">
        <x:v>39</x:v>
      </x:c>
      <x:c r="F86" s="14" t="str">
        <x:v>S09C/正视</x:v>
      </x:c>
      <x:c r="G86" s="14" t="str">
        <x:v>S09C/俯视</x:v>
      </x:c>
      <x:c r="H86" s="14" t="str">
        <x:v>S09C/右视</x:v>
      </x:c>
      <x:c r="I86" s="14" t="str">
        <x:v>R02成型与检修包络；承载/连接强度/首件未验证</x:v>
      </x:c>
      <x:c r="J86" s="14" t="str">
        <x:v>A08</x:v>
      </x:c>
      <x:c r="K86" s="14" t="str">
        <x:v>同件左右各4；右向绕Z转180°装；M4从盒内拆装</x:v>
      </x:c>
    </x:row>
    <x:row r="87" ht="36" hidden="0" customHeight="1">
      <x:c r="A87" s="13" t="str">
        <x:v>S10A</x:v>
      </x:c>
      <x:c r="B87" s="13" t="str">
        <x:v>中央搭接检修盖</x:v>
      </x:c>
      <x:c r="C87" s="13" t="str">
        <x:v>钣金制造件</x:v>
      </x:c>
      <x:c r="D87" s="13" t="str">
        <x:v>S10</x:v>
      </x:c>
      <x:c r="E87" s="20" t="n">
        <x:v>40</x:v>
      </x:c>
      <x:c r="F87" s="13" t="str">
        <x:v>S10/正视</x:v>
      </x:c>
      <x:c r="G87" s="13" t="str">
        <x:v>S10/俯视</x:v>
      </x:c>
      <x:c r="H87" s="13" t="str">
        <x:v>S10/右视</x:v>
      </x:c>
      <x:c r="I87" s="13" t="str">
        <x:v>R02成型与检修包络；承载/连接强度/首件未验证</x:v>
      </x:c>
      <x:c r="J87" s="13" t="str">
        <x:v>A08</x:v>
      </x:c>
      <x:c r="K87" s="13" t="str">
        <x:v>4防脱M5+2防坠线；卸下竖挂后露出窗口</x:v>
      </x:c>
    </x:row>
    <x:row r="88" ht="36" hidden="0" customHeight="1">
      <x:c r="A88" s="14" t="str">
        <x:v>S10B</x:v>
      </x:c>
      <x:c r="B88" s="14" t="str">
        <x:v>分线盒吊检修安装板</x:v>
      </x:c>
      <x:c r="C88" s="14" t="str">
        <x:v>钣金制造件</x:v>
      </x:c>
      <x:c r="D88" s="14" t="str">
        <x:v>S10</x:v>
      </x:c>
      <x:c r="E88" s="19" t="n">
        <x:v>40</x:v>
      </x:c>
      <x:c r="F88" s="14" t="str">
        <x:v>S10/正视</x:v>
      </x:c>
      <x:c r="G88" s="14" t="str">
        <x:v>S10/俯视</x:v>
      </x:c>
      <x:c r="H88" s="14" t="str">
        <x:v>S10/右视</x:v>
      </x:c>
      <x:c r="I88" s="14" t="str">
        <x:v>R02成型与检修包络；承载/连接强度/首件未验证</x:v>
      </x:c>
      <x:c r="J88" s="14" t="str">
        <x:v>A08</x:v>
      </x:c>
      <x:c r="K88" s="14" t="str">
        <x:v>由S10C支承；盒孔依厂家模板；下放175.45；2独立吊线</x:v>
      </x:c>
    </x:row>
    <x:row r="89" ht="36" hidden="0" customHeight="1">
      <x:c r="A89" s="13" t="str">
        <x:v>S10C</x:v>
      </x:c>
      <x:c r="B89" s="13" t="str">
        <x:v>分线盒检修板悬臂</x:v>
      </x:c>
      <x:c r="C89" s="13" t="str">
        <x:v>钣金制造件</x:v>
      </x:c>
      <x:c r="D89" s="13" t="str">
        <x:v>S10C</x:v>
      </x:c>
      <x:c r="E89" s="20" t="n">
        <x:v>41</x:v>
      </x:c>
      <x:c r="F89" s="13" t="str">
        <x:v>S10C/正视</x:v>
      </x:c>
      <x:c r="G89" s="13" t="str">
        <x:v>S10C/俯视</x:v>
      </x:c>
      <x:c r="H89" s="13" t="str">
        <x:v>S10C/右视</x:v>
      </x:c>
      <x:c r="I89" s="13" t="str">
        <x:v>R02成型与检修包络；承载/连接强度/首件未验证</x:v>
      </x:c>
      <x:c r="J89" s="13" t="str">
        <x:v>A08</x:v>
      </x:c>
      <x:c r="K89" s="13" t="str">
        <x:v>同件左右转180°装；焊于邻梁；M5焊母另计</x:v>
      </x:c>
    </x:row>
    <x:row r="90" ht="36" hidden="0" customHeight="1">
      <x:c r="A90" s="14" t="str">
        <x:v>S10D</x:v>
      </x:c>
      <x:c r="B90" s="14" t="str">
        <x:v>中央盖M5焊母补强片</x:v>
      </x:c>
      <x:c r="C90" s="14" t="str">
        <x:v>钣金制造件</x:v>
      </x:c>
      <x:c r="D90" s="14" t="str">
        <x:v>S10DE</x:v>
      </x:c>
      <x:c r="E90" s="19" t="n">
        <x:v>42</x:v>
      </x:c>
      <x:c r="F90" s="14" t="str">
        <x:v>S10DE/正视</x:v>
      </x:c>
      <x:c r="G90" s="14" t="str">
        <x:v>S10DE/俯视</x:v>
      </x:c>
      <x:c r="H90" s="14" t="str">
        <x:v>S10DE/右视</x:v>
      </x:c>
      <x:c r="I90" s="14" t="str">
        <x:v>R02成型与检修包络；承载/连接强度/首件未验证</x:v>
      </x:c>
      <x:c r="J90" s="14" t="str">
        <x:v>A08</x:v>
      </x:c>
      <x:c r="K90" s="14" t="str">
        <x:v>焊在底盘内面；不改变1.5+1+2紧固叠层</x:v>
      </x:c>
    </x:row>
    <x:row r="91" ht="36" hidden="0" customHeight="1">
      <x:c r="A91" s="13" t="str">
        <x:v>S10E</x:v>
      </x:c>
      <x:c r="B91" s="13" t="str">
        <x:v>检修门锁接收槽形座</x:v>
      </x:c>
      <x:c r="C91" s="13" t="str">
        <x:v>钣金制造件</x:v>
      </x:c>
      <x:c r="D91" s="13" t="str">
        <x:v>S10DE</x:v>
      </x:c>
      <x:c r="E91" s="20" t="n">
        <x:v>42</x:v>
      </x:c>
      <x:c r="F91" s="13" t="str">
        <x:v>S10DE/正视</x:v>
      </x:c>
      <x:c r="G91" s="13" t="str">
        <x:v>S10DE/俯视</x:v>
      </x:c>
      <x:c r="H91" s="13" t="str">
        <x:v>S10DE/右视</x:v>
      </x:c>
      <x:c r="I91" s="13" t="str">
        <x:v>R02成型与检修包络；承载/连接强度/首件未验证</x:v>
      </x:c>
      <x:c r="J91" s="13" t="str">
        <x:v>A08</x:v>
      </x:c>
      <x:c r="K91" s="13" t="str">
        <x:v>接收面Z801.3；与锁舌0.2名义间隙、搭接10.4，须首件试扣</x:v>
      </x:c>
    </x:row>
    <x:row r="92" ht="36" hidden="0" customHeight="1">
      <x:c r="A92" s="14" t="str">
        <x:v>E01</x:v>
      </x:c>
      <x:c r="B92" s="14" t="str">
        <x:v>桌面三位五孔+3USB排插</x:v>
      </x:c>
      <x:c r="C92" s="14" t="str">
        <x:v>电气采购</x:v>
      </x:c>
      <x:c r="D92" s="14" t="str">
        <x:v>E06</x:v>
      </x:c>
      <x:c r="E92" s="19" t="n">
        <x:v>48</x:v>
      </x:c>
      <x:c r="F92" s="14" t="str">
        <x:v>E01/安装正视投影</x:v>
      </x:c>
      <x:c r="G92" s="14" t="str">
        <x:v>E01/安装俯视投影</x:v>
      </x:c>
      <x:c r="H92" s="14" t="str">
        <x:v>E01/安装右视投影</x:v>
      </x:c>
      <x:c r="I92" s="14" t="str">
        <x:v>数量与接口已定；产品适用认证/到货模板/实物验收待核</x:v>
      </x:c>
      <x:c r="J92" s="14" t="str">
        <x:v>A04</x:v>
      </x:c>
      <x:c r="K92" s="14" t="str">
        <x:v>若需3USB-A须另选；厂家未给到货外包，实插净空待验</x:v>
      </x:c>
    </x:row>
    <x:row r="93" ht="36" hidden="0" customHeight="1">
      <x:c r="A93" s="13" t="str">
        <x:v>E02</x:v>
      </x:c>
      <x:c r="B93" s="13" t="str">
        <x:v>桌肚八位五孔排插</x:v>
      </x:c>
      <x:c r="C93" s="13" t="str">
        <x:v>电气采购</x:v>
      </x:c>
      <x:c r="D93" s="13" t="str">
        <x:v>E05</x:v>
      </x:c>
      <x:c r="E93" s="20" t="n">
        <x:v>47</x:v>
      </x:c>
      <x:c r="F93" s="13" t="str">
        <x:v>E01/安装正视投影</x:v>
      </x:c>
      <x:c r="G93" s="13" t="str">
        <x:v>E01/安装俯视投影</x:v>
      </x:c>
      <x:c r="H93" s="13" t="str">
        <x:v>E01/安装右视投影</x:v>
      </x:c>
      <x:c r="I93" s="13" t="str">
        <x:v>数量与接口已定；产品适用认证/到货模板/实物验收待核</x:v>
      </x:c>
      <x:c r="J93" s="13" t="str">
        <x:v>S07</x:v>
      </x:c>
      <x:c r="K93" s="13" t="str">
        <x:v>门内验收包络400×100×86.5含固定器/插头；非厂家外形，须到货实插</x:v>
      </x:c>
    </x:row>
    <x:row r="94" ht="36" hidden="0" customHeight="1">
      <x:c r="A94" s="14" t="str">
        <x:v>E03</x:v>
      </x:c>
      <x:c r="B94" s="14" t="str">
        <x:v>明装安全五孔插座</x:v>
      </x:c>
      <x:c r="C94" s="14" t="str">
        <x:v>电气采购</x:v>
      </x:c>
      <x:c r="D94" s="14" t="str">
        <x:v>E01</x:v>
      </x:c>
      <x:c r="E94" s="19" t="n">
        <x:v>43</x:v>
      </x:c>
      <x:c r="F94" s="14" t="str">
        <x:v>E01/安装正视投影</x:v>
      </x:c>
      <x:c r="G94" s="14" t="str">
        <x:v>E01/安装俯视投影</x:v>
      </x:c>
      <x:c r="H94" s="14" t="str">
        <x:v>E01/安装右视投影</x:v>
      </x:c>
      <x:c r="I94" s="14" t="str">
        <x:v>数量与接口已定；产品适用认证/到货模板/实物验收待核</x:v>
      </x:c>
      <x:c r="J94" s="14" t="str">
        <x:v>A01</x:v>
      </x:c>
      <x:c r="K94" s="14" t="str">
        <x:v>型号CCC、厂家接线图和外包待核，不锁定孔距</x:v>
      </x:c>
    </x:row>
    <x:row r="95" ht="36" hidden="0" customHeight="1">
      <x:c r="A95" s="13" t="str">
        <x:v>E04</x:v>
      </x:c>
      <x:c r="B95" s="13" t="str">
        <x:v>三芯内部分支线束</x:v>
      </x:c>
      <x:c r="C95" s="13" t="str">
        <x:v>电气辅材</x:v>
      </x:c>
      <x:c r="D95" s="13" t="str">
        <x:v>E01</x:v>
      </x:c>
      <x:c r="E95" s="20" t="n">
        <x:v>43</x:v>
      </x:c>
      <x:c r="F95" s="13" t="str">
        <x:v>E01/安装正视投影</x:v>
      </x:c>
      <x:c r="G95" s="13" t="str">
        <x:v>E01/安装俯视投影</x:v>
      </x:c>
      <x:c r="H95" s="13" t="str">
        <x:v>E01/安装右视投影</x:v>
      </x:c>
      <x:c r="I95" s="13" t="str">
        <x:v>长度待实测；未填0或估算领料</x:v>
      </x:c>
      <x:c r="J95" s="13" t="str">
        <x:v>A01</x:v>
      </x:c>
      <x:c r="K95" s="13" t="str">
        <x:v>W00外径≤8.5且厂家静态弯曲半径≤30；活动段另核；不剪改排插原线</x:v>
      </x:c>
    </x:row>
    <x:row r="96" ht="36" hidden="0" customHeight="1">
      <x:c r="A96" s="14" t="str">
        <x:v>E05</x:v>
      </x:c>
      <x:c r="B96" s="14" t="str">
        <x:v>桌肚过线保护管</x:v>
      </x:c>
      <x:c r="C96" s="14" t="str">
        <x:v>电气辅材</x:v>
      </x:c>
      <x:c r="D96" s="14" t="str">
        <x:v>E05</x:v>
      </x:c>
      <x:c r="E96" s="19" t="n">
        <x:v>47</x:v>
      </x:c>
      <x:c r="F96" s="14" t="str">
        <x:v>E01/安装正视投影</x:v>
      </x:c>
      <x:c r="G96" s="14" t="str">
        <x:v>E01/安装俯视投影</x:v>
      </x:c>
      <x:c r="H96" s="14" t="str">
        <x:v>E01/安装右视投影</x:v>
      </x:c>
      <x:c r="I96" s="14" t="str">
        <x:v>长度待实测；未填0或估算领料</x:v>
      </x:c>
      <x:c r="J96" s="14" t="str">
        <x:v>A01</x:v>
      </x:c>
      <x:c r="K96" s="14" t="str">
        <x:v>源≥25管须核外径，DN25不等于外径25；不进入桌腿</x:v>
      </x:c>
    </x:row>
    <x:row r="97" ht="36" hidden="0" customHeight="1">
      <x:c r="A97" s="13" t="str">
        <x:v>E06</x:v>
      </x:c>
      <x:c r="B97" s="13" t="str">
        <x:v>绝缘套管及线号配套</x:v>
      </x:c>
      <x:c r="C97" s="13" t="str">
        <x:v>电气辅材</x:v>
      </x:c>
      <x:c r="D97" s="13" t="str">
        <x:v>E03</x:v>
      </x:c>
      <x:c r="E97" s="20" t="n">
        <x:v>45</x:v>
      </x:c>
      <x:c r="F97" s="13" t="str">
        <x:v>E01/安装正视投影</x:v>
      </x:c>
      <x:c r="G97" s="13" t="str">
        <x:v>E01/安装俯视投影</x:v>
      </x:c>
      <x:c r="H97" s="13" t="str">
        <x:v>E01/安装右视投影</x:v>
      </x:c>
      <x:c r="I97" s="13" t="str">
        <x:v>数量与接口已定；产品适用认证/到货模板/实物验收待核</x:v>
      </x:c>
      <x:c r="J97" s="13" t="str">
        <x:v>A01</x:v>
      </x:c>
      <x:c r="K97" s="13" t="str">
        <x:v>仅附加绝缘；不得替代护套、护口或封闭接线盒</x:v>
      </x:c>
    </x:row>
    <x:row r="98" ht="36" hidden="0" customHeight="1">
      <x:c r="A98" s="14" t="str">
        <x:v>E07</x:v>
      </x:c>
      <x:c r="B98" s="14" t="str">
        <x:v>中央成品分线盒与内板</x:v>
      </x:c>
      <x:c r="C98" s="14" t="str">
        <x:v>电气采购</x:v>
      </x:c>
      <x:c r="D98" s="14" t="str">
        <x:v>E04</x:v>
      </x:c>
      <x:c r="E98" s="19" t="n">
        <x:v>46</x:v>
      </x:c>
      <x:c r="F98" s="14" t="str">
        <x:v>E01/安装正视投影</x:v>
      </x:c>
      <x:c r="G98" s="14" t="str">
        <x:v>E01/安装俯视投影</x:v>
      </x:c>
      <x:c r="H98" s="14" t="str">
        <x:v>E01/安装右视投影</x:v>
      </x:c>
      <x:c r="I98" s="14" t="str">
        <x:v>数量与接口已定；产品适用认证/到货模板/实物验收待核</x:v>
      </x:c>
      <x:c r="J98" s="14" t="str">
        <x:v>S10B</x:v>
      </x:c>
      <x:c r="K98" s="14" t="str">
        <x:v>箱200×200×70；另购内板182×182×2.05，不当作默认随箱；改孔后不宣称原IP68</x:v>
      </x:c>
    </x:row>
    <x:row r="99" ht="36" hidden="0" customHeight="1">
      <x:c r="A99" s="13" t="str">
        <x:v>E08</x:v>
      </x:c>
      <x:c r="B99" s="13" t="str">
        <x:v>排插独立固定分支插座</x:v>
      </x:c>
      <x:c r="C99" s="13" t="str">
        <x:v>电气采购</x:v>
      </x:c>
      <x:c r="D99" s="13" t="str">
        <x:v>E01</x:v>
      </x:c>
      <x:c r="E99" s="20" t="n">
        <x:v>43</x:v>
      </x:c>
      <x:c r="F99" s="13" t="str">
        <x:v>E01/安装正视投影</x:v>
      </x:c>
      <x:c r="G99" s="13" t="str">
        <x:v>E01/安装俯视投影</x:v>
      </x:c>
      <x:c r="H99" s="13" t="str">
        <x:v>E01/安装右视投影</x:v>
      </x:c>
      <x:c r="I99" s="13" t="str">
        <x:v>数量与接口已定；产品适用认证/到货模板/实物验收待核</x:v>
      </x:c>
      <x:c r="J99" s="13" t="str">
        <x:v>A01</x:v>
      </x:c>
      <x:c r="K99" s="13" t="str">
        <x:v>不得用四位排插串接替代；外壳不任意钻孔</x:v>
      </x:c>
    </x:row>
    <x:row r="100" ht="36" hidden="0" customHeight="1">
      <x:c r="A100" s="14" t="str">
        <x:v>E09</x:v>
      </x:c>
      <x:c r="B100" s="14" t="str">
        <x:v>C14电源入口</x:v>
      </x:c>
      <x:c r="C100" s="14" t="str">
        <x:v>电气采购</x:v>
      </x:c>
      <x:c r="D100" s="14" t="str">
        <x:v>E04</x:v>
      </x:c>
      <x:c r="E100" s="19" t="n">
        <x:v>46</x:v>
      </x:c>
      <x:c r="F100" s="14" t="str">
        <x:v>E01/安装正视投影</x:v>
      </x:c>
      <x:c r="G100" s="14" t="str">
        <x:v>E01/安装俯视投影</x:v>
      </x:c>
      <x:c r="H100" s="14" t="str">
        <x:v>E01/安装右视投影</x:v>
      </x:c>
      <x:c r="I100" s="14" t="str">
        <x:v>数量与接口已定；产品适用认证/到货模板/实物验收待核</x:v>
      </x:c>
      <x:c r="J100" s="14" t="str">
        <x:v>A01</x:v>
      </x:c>
      <x:c r="K100" s="14" t="str">
        <x:v>后罩E18、快接E19、紧固E20分别计；中国适用认证待核</x:v>
      </x:c>
    </x:row>
    <x:row r="101" ht="36" hidden="0" customHeight="1">
      <x:c r="A101" s="13" t="str">
        <x:v>E10</x:v>
      </x:c>
      <x:c r="B101" s="13" t="str">
        <x:v>国标10A/C13成品电源线</x:v>
      </x:c>
      <x:c r="C101" s="13" t="str">
        <x:v>电气采购</x:v>
      </x:c>
      <x:c r="D101" s="13" t="str">
        <x:v>E04</x:v>
      </x:c>
      <x:c r="E101" s="20" t="n">
        <x:v>46</x:v>
      </x:c>
      <x:c r="F101" s="13" t="str">
        <x:v>E01/安装正视投影</x:v>
      </x:c>
      <x:c r="G101" s="13" t="str">
        <x:v>E01/安装俯视投影</x:v>
      </x:c>
      <x:c r="H101" s="13" t="str">
        <x:v>E01/安装右视投影</x:v>
      </x:c>
      <x:c r="I101" s="13" t="str">
        <x:v>数量与接口已定；产品适用认证/到货模板/实物验收待核</x:v>
      </x:c>
      <x:c r="J101" s="13" t="str">
        <x:v>A01</x:v>
      </x:c>
      <x:c r="K101" s="13" t="str">
        <x:v>选定线径版本CCC与长度待核；不得剪改模压接头</x:v>
      </x:c>
    </x:row>
    <x:row r="102" ht="36" hidden="0" customHeight="1">
      <x:c r="A102" s="14" t="str">
        <x:v>E11</x:v>
      </x:c>
      <x:c r="B102" s="14" t="str">
        <x:v>L灰色直通端子</x:v>
      </x:c>
      <x:c r="C102" s="14" t="str">
        <x:v>电气采购</x:v>
      </x:c>
      <x:c r="D102" s="14" t="str">
        <x:v>E03</x:v>
      </x:c>
      <x:c r="E102" s="19" t="n">
        <x:v>45</x:v>
      </x:c>
      <x:c r="F102" s="14" t="str">
        <x:v>E01/安装正视投影</x:v>
      </x:c>
      <x:c r="G102" s="14" t="str">
        <x:v>E01/安装俯视投影</x:v>
      </x:c>
      <x:c r="H102" s="14" t="str">
        <x:v>E01/安装右视投影</x:v>
      </x:c>
      <x:c r="I102" s="14" t="str">
        <x:v>数量与接口已定；产品适用认证/到货模板/实物验收待核</x:v>
      </x:c>
      <x:c r="J102" s="14" t="str">
        <x:v>A01</x:v>
      </x:c>
      <x:c r="K102" s="14" t="str">
        <x:v>一夹一线；按厂家剥线10~12及压接工艺</x:v>
      </x:c>
    </x:row>
    <x:row r="103" ht="36" hidden="0" customHeight="1">
      <x:c r="A103" s="13" t="str">
        <x:v>E12</x:v>
      </x:c>
      <x:c r="B103" s="13" t="str">
        <x:v>N蓝色直通端子</x:v>
      </x:c>
      <x:c r="C103" s="13" t="str">
        <x:v>电气采购</x:v>
      </x:c>
      <x:c r="D103" s="13" t="str">
        <x:v>E03</x:v>
      </x:c>
      <x:c r="E103" s="20" t="n">
        <x:v>45</x:v>
      </x:c>
      <x:c r="F103" s="13" t="str">
        <x:v>E01/安装正视投影</x:v>
      </x:c>
      <x:c r="G103" s="13" t="str">
        <x:v>E01/安装俯视投影</x:v>
      </x:c>
      <x:c r="H103" s="13" t="str">
        <x:v>E01/安装右视投影</x:v>
      </x:c>
      <x:c r="I103" s="13" t="str">
        <x:v>数量与接口已定；产品适用认证/到货模板/实物验收待核</x:v>
      </x:c>
      <x:c r="J103" s="13" t="str">
        <x:v>A01</x:v>
      </x:c>
      <x:c r="K103" s="13" t="str">
        <x:v>严禁N-PE跨接；不得把单电位端子当多极</x:v>
      </x:c>
    </x:row>
    <x:row r="104" ht="36" hidden="0" customHeight="1">
      <x:c r="A104" s="14" t="str">
        <x:v>E13</x:v>
      </x:c>
      <x:c r="B104" s="14" t="str">
        <x:v>黄绿PE端子</x:v>
      </x:c>
      <x:c r="C104" s="14" t="str">
        <x:v>电气采购</x:v>
      </x:c>
      <x:c r="D104" s="14" t="str">
        <x:v>E03</x:v>
      </x:c>
      <x:c r="E104" s="19" t="n">
        <x:v>45</x:v>
      </x:c>
      <x:c r="F104" s="14" t="str">
        <x:v>E01/安装正视投影</x:v>
      </x:c>
      <x:c r="G104" s="14" t="str">
        <x:v>E01/安装俯视投影</x:v>
      </x:c>
      <x:c r="H104" s="14" t="str">
        <x:v>E01/安装右视投影</x:v>
      </x:c>
      <x:c r="I104" s="14" t="str">
        <x:v>数量与接口已定；产品适用认证/到货模板/实物验收待核</x:v>
      </x:c>
      <x:c r="J104" s="14" t="str">
        <x:v>A01</x:v>
      </x:c>
      <x:c r="K104" s="14" t="str">
        <x:v>XPE6接PE0，桌身/两门/中央组件独立跨接</x:v>
      </x:c>
    </x:row>
    <x:row r="105" ht="36" hidden="0" customHeight="1">
      <x:c r="A105" s="13" t="str">
        <x:v>E14</x:v>
      </x:c>
      <x:c r="B105" s="13" t="str">
        <x:v>六位连续跨接桥</x:v>
      </x:c>
      <x:c r="C105" s="13" t="str">
        <x:v>电气采购</x:v>
      </x:c>
      <x:c r="D105" s="13" t="str">
        <x:v>E03</x:v>
      </x:c>
      <x:c r="E105" s="20" t="n">
        <x:v>45</x:v>
      </x:c>
      <x:c r="F105" s="13" t="str">
        <x:v>E01/安装正视投影</x:v>
      </x:c>
      <x:c r="G105" s="13" t="str">
        <x:v>E01/安装俯视投影</x:v>
      </x:c>
      <x:c r="H105" s="13" t="str">
        <x:v>E01/安装右视投影</x:v>
      </x:c>
      <x:c r="I105" s="13" t="str">
        <x:v>数量与接口已定；产品适用认证/到货模板/实物验收待核</x:v>
      </x:c>
      <x:c r="J105" s="13" t="str">
        <x:v>A01</x:v>
      </x:c>
      <x:c r="K105" s="13" t="str">
        <x:v>不得错购/020-000三对独立桥</x:v>
      </x:c>
    </x:row>
    <x:row r="106" ht="36" hidden="0" customHeight="1">
      <x:c r="A106" s="14" t="str">
        <x:v>E15</x:v>
      </x:c>
      <x:c r="B106" s="14" t="str">
        <x:v>导轨端挡与绝缘端板</x:v>
      </x:c>
      <x:c r="C106" s="14" t="str">
        <x:v>电气辅材</x:v>
      </x:c>
      <x:c r="D106" s="14" t="str">
        <x:v>E03</x:v>
      </x:c>
      <x:c r="E106" s="19" t="n">
        <x:v>45</x:v>
      </x:c>
      <x:c r="F106" s="14" t="str">
        <x:v>E01/安装正视投影</x:v>
      </x:c>
      <x:c r="G106" s="14" t="str">
        <x:v>E01/安装俯视投影</x:v>
      </x:c>
      <x:c r="H106" s="14" t="str">
        <x:v>E01/安装右视投影</x:v>
      </x:c>
      <x:c r="I106" s="14" t="str">
        <x:v>数量与接口已定；产品适用认证/到货模板/实物验收待核</x:v>
      </x:c>
      <x:c r="J106" s="14" t="str">
        <x:v>A01</x:v>
      </x:c>
      <x:c r="K106" s="14" t="str">
        <x:v>L/N/PE分区清晰；导轨保护接地和端子保持力待验</x:v>
      </x:c>
    </x:row>
    <x:row r="107" ht="36" hidden="0" customHeight="1">
      <x:c r="A107" s="13" t="str">
        <x:v>E16</x:v>
      </x:c>
      <x:c r="B107" s="13" t="str">
        <x:v>金属件保护连接配套</x:v>
      </x:c>
      <x:c r="C107" s="13" t="str">
        <x:v>电气辅材</x:v>
      </x:c>
      <x:c r="D107" s="13" t="str">
        <x:v>E03</x:v>
      </x:c>
      <x:c r="E107" s="20" t="n">
        <x:v>45</x:v>
      </x:c>
      <x:c r="F107" s="13" t="str">
        <x:v>E01/安装正视投影</x:v>
      </x:c>
      <x:c r="G107" s="13" t="str">
        <x:v>E01/安装俯视投影</x:v>
      </x:c>
      <x:c r="H107" s="13" t="str">
        <x:v>E01/安装右视投影</x:v>
      </x:c>
      <x:c r="I107" s="13" t="str">
        <x:v>数量与接口已定；产品适用认证/到货模板/实物验收待核</x:v>
      </x:c>
      <x:c r="J107" s="13" t="str">
        <x:v>A01</x:v>
      </x:c>
      <x:c r="K107" s="13" t="str">
        <x:v>含M5×20焊柱/齿平垫/锁母各10及门M4套2；套管1；中央E21~24不重计</x:v>
      </x:c>
    </x:row>
    <x:row r="108" ht="36" hidden="0" customHeight="1">
      <x:c r="A108" s="14" t="str">
        <x:v>E17</x:v>
      </x:c>
      <x:c r="B108" s="14" t="str">
        <x:v>进线与线束固定护口配套</x:v>
      </x:c>
      <x:c r="C108" s="14" t="str">
        <x:v>电气辅材</x:v>
      </x:c>
      <x:c r="D108" s="14" t="str">
        <x:v>E04</x:v>
      </x:c>
      <x:c r="E108" s="19" t="n">
        <x:v>46</x:v>
      </x:c>
      <x:c r="F108" s="14" t="str">
        <x:v>E01/安装正视投影</x:v>
      </x:c>
      <x:c r="G108" s="14" t="str">
        <x:v>E01/安装俯视投影</x:v>
      </x:c>
      <x:c r="H108" s="14" t="str">
        <x:v>E01/安装右视投影</x:v>
      </x:c>
      <x:c r="I108" s="14" t="str">
        <x:v>数量与接口已定；产品适用认证/到货模板/实物验收待核</x:v>
      </x:c>
      <x:c r="J108" s="14" t="str">
        <x:v>A01</x:v>
      </x:c>
      <x:c r="K108" s="14" t="str">
        <x:v>X0独立夹护套；后罩/快接不抗拉；不破坏原装护套</x:v>
      </x:c>
    </x:row>
    <x:row r="109" ht="36" hidden="0" customHeight="1">
      <x:c r="A109" s="13" t="str">
        <x:v>E18</x:v>
      </x:c>
      <x:c r="B109" s="13" t="str">
        <x:v>C14原厂绝缘后罩</x:v>
      </x:c>
      <x:c r="C109" s="13" t="str">
        <x:v>电气采购</x:v>
      </x:c>
      <x:c r="D109" s="13" t="str">
        <x:v>E04</x:v>
      </x:c>
      <x:c r="E109" s="20" t="n">
        <x:v>46</x:v>
      </x:c>
      <x:c r="F109" s="13" t="str">
        <x:v>E01/安装正视投影</x:v>
      </x:c>
      <x:c r="G109" s="13" t="str">
        <x:v>E01/安装俯视投影</x:v>
      </x:c>
      <x:c r="H109" s="13" t="str">
        <x:v>E01/安装右视投影</x:v>
      </x:c>
      <x:c r="I109" s="13" t="str">
        <x:v>数量与接口已定；产品适用认证/到货模板/实物验收待核</x:v>
      </x:c>
      <x:c r="J109" s="13" t="str">
        <x:v>A01</x:v>
      </x:c>
      <x:c r="K109" s="13" t="str">
        <x:v>原厂适配6100-3；出线口内径8.5；装配后包络至Z834</x:v>
      </x:c>
    </x:row>
    <x:row r="110" ht="36" hidden="0" customHeight="1">
      <x:c r="A110" s="14" t="str">
        <x:v>E19</x:v>
      </x:c>
      <x:c r="B110" s="14" t="str">
        <x:v>全绝缘快接母端</x:v>
      </x:c>
      <x:c r="C110" s="14" t="str">
        <x:v>电气采购</x:v>
      </x:c>
      <x:c r="D110" s="14" t="str">
        <x:v>E04</x:v>
      </x:c>
      <x:c r="E110" s="19" t="n">
        <x:v>46</x:v>
      </x:c>
      <x:c r="F110" s="14" t="str">
        <x:v>E01/安装正视投影</x:v>
      </x:c>
      <x:c r="G110" s="14" t="str">
        <x:v>E01/安装俯视投影</x:v>
      </x:c>
      <x:c r="H110" s="14" t="str">
        <x:v>E01/安装右视投影</x:v>
      </x:c>
      <x:c r="I110" s="14" t="str">
        <x:v>数量与接口已定；产品适用认证/到货模板/实物验收待核</x:v>
      </x:c>
      <x:c r="J110" s="14" t="str">
        <x:v>A01</x:v>
      </x:c>
      <x:c r="K110" s="14" t="str">
        <x:v>适1~1.5mm²、导体绝缘径≤3.3；按厂家拉脱/压接验收</x:v>
      </x:c>
    </x:row>
    <x:row r="111" ht="36" hidden="0" customHeight="1">
      <x:c r="A111" s="13" t="str">
        <x:v>E20</x:v>
      </x:c>
      <x:c r="B111" s="13" t="str">
        <x:v>C14入口固定紧固件</x:v>
      </x:c>
      <x:c r="C111" s="13" t="str">
        <x:v>电气采购</x:v>
      </x:c>
      <x:c r="D111" s="13" t="str">
        <x:v>E04</x:v>
      </x:c>
      <x:c r="E111" s="20" t="n">
        <x:v>46</x:v>
      </x:c>
      <x:c r="F111" s="13" t="str">
        <x:v>E01/安装正视投影</x:v>
      </x:c>
      <x:c r="G111" s="13" t="str">
        <x:v>E01/安装俯视投影</x:v>
      </x:c>
      <x:c r="H111" s="13" t="str">
        <x:v>E01/安装右视投影</x:v>
      </x:c>
      <x:c r="I111" s="13" t="str">
        <x:v>数量与接口已定；产品适用认证/到货模板/实物验收待核</x:v>
      </x:c>
      <x:c r="J111" s="13" t="str">
        <x:v>A01</x:v>
      </x:c>
      <x:c r="K111" s="13" t="str">
        <x:v>不作PE连接；实际板/法兰叠厚与突出量首件核定</x:v>
      </x:c>
    </x:row>
    <x:row r="112" ht="36" hidden="0" customHeight="1">
      <x:c r="A112" s="14" t="str">
        <x:v>E21</x:v>
      </x:c>
      <x:c r="B112" s="14" t="str">
        <x:v>中央组件柔性PE线</x:v>
      </x:c>
      <x:c r="C112" s="14" t="str">
        <x:v>电气采购</x:v>
      </x:c>
      <x:c r="D112" s="14" t="str">
        <x:v>E03</x:v>
      </x:c>
      <x:c r="E112" s="19" t="n">
        <x:v>45</x:v>
      </x:c>
      <x:c r="F112" s="14" t="str">
        <x:v>E01/安装正视投影</x:v>
      </x:c>
      <x:c r="G112" s="14" t="str">
        <x:v>E01/安装俯视投影</x:v>
      </x:c>
      <x:c r="H112" s="14" t="str">
        <x:v>E01/安装右视投影</x:v>
      </x:c>
      <x:c r="I112" s="14" t="str">
        <x:v>数量与接口已定；产品适用认证/到货模板/实物验收待核</x:v>
      </x:c>
      <x:c r="J112" s="14" t="str">
        <x:v>A01</x:v>
      </x:c>
      <x:c r="K112" s="14" t="str">
        <x:v>各留≥250维护余量；载板下放175.45，盖索孔心距183，按S10F全程核定；不承担吊重</x:v>
      </x:c>
    </x:row>
    <x:row r="113" ht="36" hidden="0" customHeight="1">
      <x:c r="A113" s="13" t="str">
        <x:v>E22</x:v>
      </x:c>
      <x:c r="B113" s="13" t="str">
        <x:v>中央PE移动端M4环端子</x:v>
      </x:c>
      <x:c r="C113" s="13" t="str">
        <x:v>电气采购</x:v>
      </x:c>
      <x:c r="D113" s="13" t="str">
        <x:v>E03</x:v>
      </x:c>
      <x:c r="E113" s="20" t="n">
        <x:v>45</x:v>
      </x:c>
      <x:c r="F113" s="13" t="str">
        <x:v>E01/安装正视投影</x:v>
      </x:c>
      <x:c r="G113" s="13" t="str">
        <x:v>E01/安装俯视投影</x:v>
      </x:c>
      <x:c r="H113" s="13" t="str">
        <x:v>E01/安装右视投影</x:v>
      </x:c>
      <x:c r="I113" s="13" t="str">
        <x:v>数量与接口已定；产品适用认证/到货模板/实物验收待核</x:v>
      </x:c>
      <x:c r="J113" s="13" t="str">
        <x:v>A01</x:v>
      </x:c>
      <x:c r="K113" s="13" t="str">
        <x:v>原厂工具压接；去漆接触面、防松并测连续性</x:v>
      </x:c>
    </x:row>
    <x:row r="114" ht="36" hidden="0" customHeight="1">
      <x:c r="A114" s="14" t="str">
        <x:v>E23</x:v>
      </x:c>
      <x:c r="B114" s="14" t="str">
        <x:v>中央PE固定端M5环端子</x:v>
      </x:c>
      <x:c r="C114" s="14" t="str">
        <x:v>电气采购</x:v>
      </x:c>
      <x:c r="D114" s="14" t="str">
        <x:v>E03</x:v>
      </x:c>
      <x:c r="E114" s="19" t="n">
        <x:v>45</x:v>
      </x:c>
      <x:c r="F114" s="14" t="str">
        <x:v>E01/安装正视投影</x:v>
      </x:c>
      <x:c r="G114" s="14" t="str">
        <x:v>E01/安装俯视投影</x:v>
      </x:c>
      <x:c r="H114" s="14" t="str">
        <x:v>E01/安装右视投影</x:v>
      </x:c>
      <x:c r="I114" s="14" t="str">
        <x:v>数量与接口已定；产品适用认证/到货模板/实物验收待核</x:v>
      </x:c>
      <x:c r="J114" s="14" t="str">
        <x:v>A01</x:v>
      </x:c>
      <x:c r="K114" s="14" t="str">
        <x:v>各端独立夹紧；不得任意堆叠到短螺柱</x:v>
      </x:c>
    </x:row>
    <x:row r="115" ht="36" hidden="0" customHeight="1">
      <x:c r="A115" s="13" t="str">
        <x:v>E24</x:v>
      </x:c>
      <x:c r="B115" s="13" t="str">
        <x:v>中央组件PE专用紧固件</x:v>
      </x:c>
      <x:c r="C115" s="13" t="str">
        <x:v>电气采购</x:v>
      </x:c>
      <x:c r="D115" s="13" t="str">
        <x:v>E03</x:v>
      </x:c>
      <x:c r="E115" s="20" t="n">
        <x:v>45</x:v>
      </x:c>
      <x:c r="F115" s="13" t="str">
        <x:v>E01/安装正视投影</x:v>
      </x:c>
      <x:c r="G115" s="13" t="str">
        <x:v>E01/安装俯视投影</x:v>
      </x:c>
      <x:c r="H115" s="13" t="str">
        <x:v>E01/安装右视投影</x:v>
      </x:c>
      <x:c r="I115" s="13" t="str">
        <x:v>数量与接口已定；产品适用认证/到货模板/实物验收待核</x:v>
      </x:c>
      <x:c r="J115" s="13" t="str">
        <x:v>A01</x:v>
      </x:c>
      <x:c r="K115" s="13" t="str">
        <x:v>各1套，螺纹朝上；不得兼用防坠或结构螺钉</x:v>
      </x:c>
    </x:row>
    <x:row r="116" ht="42" hidden="0" customHeight="1">
      <x:c r="A116" s="14" t="str">
        <x:v>H01</x:v>
      </x:c>
      <x:c r="B116" s="14" t="str">
        <x:v>薄型调节脚</x:v>
      </x:c>
      <x:c r="C116" s="14" t="str">
        <x:v>采购五金</x:v>
      </x:c>
      <x:c r="D116" s="14" t="str">
        <x:v>H02</x:v>
      </x:c>
      <x:c r="E116" s="19" t="n">
        <x:v>50</x:v>
      </x:c>
      <x:c r="F116" s="14" t="str">
        <x:v>H02 安装接口</x:v>
      </x:c>
      <x:c r="G116" s="14" t="str">
        <x:v>外购件，按厂家规格</x:v>
      </x:c>
      <x:c r="H116" s="14" t="str">
        <x:v>外购件，按厂家规格</x:v>
      </x:c>
      <x:c r="I116" s="14" t="str">
        <x:v>中国官方页有订购入口；库存未核</x:v>
      </x:c>
      <x:c r="J116" s="14" t="str">
        <x:v>A07</x:v>
      </x:c>
      <x:c r="K116" s="14" t="str">
        <x:v>TG-20；S03C内沉1，脚底名义外露5；每腿2只；调节后复核整桌900高及螺纹搭接；S03C脚孔局部u80/110、v13.9665，孔距30；不用原定制外φ18脚。厂家单件承载数据不能直接当整桌承载验收值。</x:v>
      </x:c>
    </x:row>
    <x:row r="117" ht="42" hidden="0" customHeight="1">
      <x:c r="A117" s="13" t="str">
        <x:v>H02</x:v>
      </x:c>
      <x:c r="B117" s="13" t="str">
        <x:v>M8六角焊接螺母</x:v>
      </x:c>
      <x:c r="C117" s="13" t="str">
        <x:v>采购五金</x:v>
      </x:c>
      <x:c r="D117" s="13" t="str">
        <x:v>H02</x:v>
      </x:c>
      <x:c r="E117" s="20" t="n">
        <x:v>50</x:v>
      </x:c>
      <x:c r="F117" s="13" t="str">
        <x:v>H02 安装接口</x:v>
      </x:c>
      <x:c r="G117" s="13" t="str">
        <x:v>外购件，按厂家规格</x:v>
      </x:c>
      <x:c r="H117" s="13" t="str">
        <x:v>外购件，按厂家规格</x:v>
      </x:c>
      <x:c r="I117" s="13" t="str">
        <x:v>准确规格商品/可选规格页可网购；中国配送及实时库存未核</x:v>
      </x:c>
      <x:c r="J117" s="13" t="str">
        <x:v>S03C</x:v>
      </x:c>
      <x:c r="K117" s="13" t="str">
        <x:v>DIN 929 M8 钢本色；S03C定位孔φ10.5 H11；不能沿用原φ8.5；焊后通规检查；不采用不锈钢/A2版本与碳钢底板直接混配。到货核对定位凸台和安装孔。</x:v>
      </x:c>
    </x:row>
    <x:row r="118" ht="42" hidden="0" customHeight="1">
      <x:c r="A118" s="14" t="str">
        <x:v>H03</x:v>
      </x:c>
      <x:c r="B118" s="14" t="str">
        <x:v>检修门可脱卸合页</x:v>
      </x:c>
      <x:c r="C118" s="14" t="str">
        <x:v>采购五金</x:v>
      </x:c>
      <x:c r="D118" s="14" t="str">
        <x:v>H03</x:v>
      </x:c>
      <x:c r="E118" s="19" t="n">
        <x:v>51</x:v>
      </x:c>
      <x:c r="F118" s="14" t="str">
        <x:v>H03 安装接口</x:v>
      </x:c>
      <x:c r="G118" s="14" t="str">
        <x:v>外购件，按厂家规格</x:v>
      </x:c>
      <x:c r="H118" s="14" t="str">
        <x:v>外购件，按厂家规格</x:v>
      </x:c>
      <x:c r="I118" s="14" t="str">
        <x:v>中国官方页有订购入口；库存未核</x:v>
      </x:c>
      <x:c r="J118" s="14" t="str">
        <x:v>S07</x:v>
      </x:c>
      <x:c r="K118" s="14" t="str">
        <x:v>HG-OTA75 / 170-090-942；每门2只；孔中心相对铰链展开中心为(±19, ±31.75)；轴线方向沿75边；M3穿透连接；两只标称6kg仅为厂家条件值。轴可缩入拆门；闭合不靠铰链阻尼，另设限位。</x:v>
      </x:c>
    </x:row>
    <x:row r="119" ht="54" hidden="0" customHeight="1">
      <x:c r="A119" s="13" t="str">
        <x:v>H04</x:v>
      </x:c>
      <x:c r="B119" s="13" t="str">
        <x:v>直槽工具转舌锁（完整套件）</x:v>
      </x:c>
      <x:c r="C119" s="13" t="str">
        <x:v>采购五金</x:v>
      </x:c>
      <x:c r="D119" s="13" t="str">
        <x:v>H03</x:v>
      </x:c>
      <x:c r="E119" s="20" t="n">
        <x:v>51</x:v>
      </x:c>
      <x:c r="F119" s="13" t="str">
        <x:v>H03 安装接口</x:v>
      </x:c>
      <x:c r="G119" s="13" t="str">
        <x:v>外购件，按厂家规格</x:v>
      </x:c>
      <x:c r="H119" s="13" t="str">
        <x:v>外购件，按厂家规格</x:v>
      </x:c>
      <x:c r="I119" s="13" t="str">
        <x:v>国内厂家官方商城入口；须按完整套件型号订购并核库存</x:v>
      </x:c>
      <x:c r="J119" s="13" t="str">
        <x:v>S07</x:v>
      </x:c>
      <x:c r="K119" s="13" t="str">
        <x:v>MS705-1-1；适门T1~5，含35长舌、螺母、止退件；锁头法兰贴门底Z782，末端接触面H19.5为Z801.5；S10E接收顶Z801.3留0.2，不能按近轴GH18定位接收面。锁舌扫掠留净。；官网旧规格表写MS705-1-1.1，当前尺寸图写MS705-1-1；订货应随附本图，以35锁舌/直槽芯版本核对，不混54长舌版本。</x:v>
      </x:c>
    </x:row>
    <x:row r="120" ht="54" hidden="0" customHeight="1">
      <x:c r="A120" s="14" t="str">
        <x:v>H05</x:v>
      </x:c>
      <x:c r="B120" s="14" t="str">
        <x:v>排插滑拆固定器组</x:v>
      </x:c>
      <x:c r="C120" s="14" t="str">
        <x:v>采购五金</x:v>
      </x:c>
      <x:c r="D120" s="14" t="str">
        <x:v>H01</x:v>
      </x:c>
      <x:c r="E120" s="19" t="n">
        <x:v>49</x:v>
      </x:c>
      <x:c r="F120" s="14" t="str">
        <x:v>H01 安装接口</x:v>
      </x:c>
      <x:c r="G120" s="14" t="str">
        <x:v>外购件，按厂家规格</x:v>
      </x:c>
      <x:c r="H120" s="14" t="str">
        <x:v>外购件，按厂家规格</x:v>
      </x:c>
      <x:c r="I120" s="14" t="str">
        <x:v>厂家直链天猫成品；活动门应用为待验证候选</x:v>
      </x:c>
      <x:c r="J120" s="14" t="str">
        <x:v>S07</x:v>
      </x:c>
      <x:c r="K120" s="14" t="str">
        <x:v>LP332 / 每组2套；GN-604背部与喷涂门内面平整清洁，按厂家胶粘并充分固化；每组2套同向滑轨；不钻排插壳。活动门倒置、抗滑脱和热老化未获厂家证明，须连同用户插头做启闭/抗拉首件验证。；不把包装尺寸充当外形；承载额定、装配外包、店铺实时库存未核。</x:v>
      </x:c>
    </x:row>
    <x:row r="121" ht="54" hidden="0" customHeight="1">
      <x:c r="A121" s="13" t="str">
        <x:v>H06</x:v>
      </x:c>
      <x:c r="B121" s="13" t="str">
        <x:v>承托盒白色穿线护口</x:v>
      </x:c>
      <x:c r="C121" s="13" t="str">
        <x:v>采购五金</x:v>
      </x:c>
      <x:c r="D121" s="13" t="str">
        <x:v>H01</x:v>
      </x:c>
      <x:c r="E121" s="20" t="n">
        <x:v>49</x:v>
      </x:c>
      <x:c r="F121" s="13" t="str">
        <x:v>H01 安装接口</x:v>
      </x:c>
      <x:c r="G121" s="13" t="str">
        <x:v>外购件，按厂家规格</x:v>
      </x:c>
      <x:c r="H121" s="13" t="str">
        <x:v>外购件，按厂家规格</x:v>
      </x:c>
      <x:c r="I121" s="13" t="str">
        <x:v>可网购具体型号；到货φ50孔配装及入孔深待复核</x:v>
      </x:c>
      <x:c r="J121" s="13" t="str">
        <x:v>W03A</x:v>
      </x:c>
      <x:c r="K121" s="13" t="str">
        <x:v>429.99.735；W03A长侧T15板φ50孔；局部u165/v51，全局(600/1400,492.5,842)，孔朝近侧-Y。筒向盒内突出约7；保持周围净空，按厂家允许压装或胶粘。可取盖穿原装插头，再恢复护口；开口及插头穿越须首件核实。；S51/WHT孔径44.2与本项目不符，已排除；不改原φ50孔为错规格。</x:v>
      </x:c>
    </x:row>
    <x:row r="122" ht="42" hidden="0" customHeight="1">
      <x:c r="A122" s="14" t="str">
        <x:v>H07</x:v>
      </x:c>
      <x:c r="B122" s="14" t="str">
        <x:v>小翻盖隐藏桶式铰链</x:v>
      </x:c>
      <x:c r="C122" s="14" t="str">
        <x:v>采购五金</x:v>
      </x:c>
      <x:c r="D122" s="14" t="str">
        <x:v>H03</x:v>
      </x:c>
      <x:c r="E122" s="19" t="n">
        <x:v>51</x:v>
      </x:c>
      <x:c r="F122" s="14" t="str">
        <x:v>H03 安装接口</x:v>
      </x:c>
      <x:c r="G122" s="14" t="str">
        <x:v>外购件，按厂家规格</x:v>
      </x:c>
      <x:c r="H122" s="14" t="str">
        <x:v>外购件，按厂家规格</x:v>
      </x:c>
      <x:c r="I122" s="14" t="str">
        <x:v>厂家官网可加入购物车；中国现货和进口交期未核</x:v>
      </x:c>
      <x:c r="J122" s="14" t="str">
        <x:v>A03</x:v>
      </x:c>
      <x:c r="K122" s="14" t="str">
        <x:v>BH104；T18盖及桌面均从顶面钻φ10深11.5；剩板厚6.5。每盖u50/248、孔心距外侧开合边6.8；180°展开对应桌面闭合共面，操作抬90°。；厂家仅轻型应用，无扭矩保持；闭合须8只独立角码支承。顶面可见桶式铰链金属链节；低Y毛刷安装28×7槽保留，不能误删。</x:v>
      </x:c>
    </x:row>
    <x:row r="123" ht="54" hidden="0" customHeight="1">
      <x:c r="A123" s="13" t="str">
        <x:v>H09</x:v>
      </x:c>
      <x:c r="B123" s="13" t="str">
        <x:v>桌面M6机螺钉</x:v>
      </x:c>
      <x:c r="C123" s="13" t="str">
        <x:v>采购五金</x:v>
      </x:c>
      <x:c r="D123" s="13" t="str">
        <x:v>H02</x:v>
      </x:c>
      <x:c r="E123" s="20" t="n">
        <x:v>50</x:v>
      </x:c>
      <x:c r="F123" s="13" t="str">
        <x:v>H02 安装接口</x:v>
      </x:c>
      <x:c r="G123" s="13" t="str">
        <x:v>外购件，按厂家规格</x:v>
      </x:c>
      <x:c r="H123" s="13" t="str">
        <x:v>外购件，按厂家规格</x:v>
      </x:c>
      <x:c r="I123" s="13" t="str">
        <x:v>准确规格商品/可选规格页可网购；中国配送及实时库存未核</x:v>
      </x:c>
      <x:c r="J123" s="13" t="str">
        <x:v>A03</x:v>
      </x:c>
      <x:c r="K123" s="13" t="str">
        <x:v>ISO 4762 / DIN 912 M6×12；穿T3固定耳＋T1.6垫片，进入桌面嵌母7.4；由桌下拆装；成对点X580/850/1150/1420×Y328/872；8点为R02设计数量；拧紧扭矩按实际阻燃多层板试验，不能套用钢连接满扭矩。</x:v>
      </x:c>
    </x:row>
    <x:row r="124" ht="54" hidden="0" customHeight="1">
      <x:c r="A124" s="14" t="str">
        <x:v>H10</x:v>
      </x:c>
      <x:c r="B124" s="14" t="str">
        <x:v>桌面M6木用嵌入螺母</x:v>
      </x:c>
      <x:c r="C124" s="14" t="str">
        <x:v>采购五金</x:v>
      </x:c>
      <x:c r="D124" s="14" t="str">
        <x:v>H02</x:v>
      </x:c>
      <x:c r="E124" s="19" t="n">
        <x:v>50</x:v>
      </x:c>
      <x:c r="F124" s="14" t="str">
        <x:v>H02 安装接口</x:v>
      </x:c>
      <x:c r="G124" s="14" t="str">
        <x:v>外购件，按厂家规格</x:v>
      </x:c>
      <x:c r="H124" s="14" t="str">
        <x:v>外购件，按厂家规格</x:v>
      </x:c>
      <x:c r="I124" s="14" t="str">
        <x:v>厂家官网可在线订购；中国现货和进口交期未核</x:v>
      </x:c>
      <x:c r="J124" s="14" t="str">
        <x:v>W01</x:v>
      </x:c>
      <x:c r="K124" s="14" t="str">
        <x:v>SKD30 439612001；从桌面底安装；试样底孔φ10.5深14、面层最小保留4；嵌件法兰与底面齐，深度限位钻孔；底孔深14是本项目T18安全余量设计，厂家仅提供底孔直径范围；在同批阻燃板试装/拔出检查后放行。不拿京东泛称M6×12未知外径件直接代换。</x:v>
      </x:c>
    </x:row>
    <x:row r="125" ht="42" hidden="0" customHeight="1">
      <x:c r="A125" s="13" t="str">
        <x:v>H11</x:v>
      </x:c>
      <x:c r="B125" s="13" t="str">
        <x:v>M6平垫圈</x:v>
      </x:c>
      <x:c r="C125" s="13" t="str">
        <x:v>采购五金</x:v>
      </x:c>
      <x:c r="D125" s="13" t="str">
        <x:v>H02</x:v>
      </x:c>
      <x:c r="E125" s="20" t="n">
        <x:v>50</x:v>
      </x:c>
      <x:c r="F125" s="13" t="str">
        <x:v>H02 安装接口</x:v>
      </x:c>
      <x:c r="G125" s="13" t="str">
        <x:v>外购件，按厂家规格</x:v>
      </x:c>
      <x:c r="H125" s="13" t="str">
        <x:v>外购件，按厂家规格</x:v>
      </x:c>
      <x:c r="I125" s="13" t="str">
        <x:v>准确规格商品/可选规格页可网购；中国配送及实时库存未核</x:v>
      </x:c>
      <x:c r="J125" s="13" t="str">
        <x:v>A03</x:v>
      </x:c>
      <x:c r="K125" s="13" t="str">
        <x:v>ISO 7089 / DIN 125-A 6；与8只M6×12配套；覆盖6.6×12长圆调节孔；不要用不同厚度弹垫替代，否则有效啮合长度变化。</x:v>
      </x:c>
    </x:row>
    <x:row r="126" ht="42" hidden="0" customHeight="1">
      <x:c r="A126" s="14" t="str">
        <x:v>H12</x:v>
      </x:c>
      <x:c r="B126" s="14" t="str">
        <x:v>检修门合页螺钉配套</x:v>
      </x:c>
      <x:c r="C126" s="14" t="str">
        <x:v>采购五金</x:v>
      </x:c>
      <x:c r="D126" s="14" t="str">
        <x:v>H03</x:v>
      </x:c>
      <x:c r="E126" s="19" t="n">
        <x:v>51</x:v>
      </x:c>
      <x:c r="F126" s="14" t="str">
        <x:v>H03 安装接口</x:v>
      </x:c>
      <x:c r="G126" s="14" t="str">
        <x:v>外购件，按厂家规格</x:v>
      </x:c>
      <x:c r="H126" s="14" t="str">
        <x:v>外购件，按厂家规格</x:v>
      </x:c>
      <x:c r="I126" s="14" t="str">
        <x:v>准确规格商品/可选规格页可网购；中国配送及实时库存未核</x:v>
      </x:c>
      <x:c r="J126" s="14" t="str">
        <x:v>S07</x:v>
      </x:c>
      <x:c r="K126" s="14" t="str">
        <x:v>M3×8盘头＋M3防松螺母＋M3平垫；穿φ3.8合页孔与门/底盘配孔；每套1螺钉1平垫1防松螺母；组装后验轴芯可操作；合页叶片T1.5＋门T1.5（或支撑板）；M3×8避免长端侵入活动区。</x:v>
      </x:c>
    </x:row>
    <x:row r="127" ht="54" hidden="0" customHeight="1">
      <x:c r="A127" s="13" t="str">
        <x:v>H13</x:v>
      </x:c>
      <x:c r="B127" s="13" t="str">
        <x:v>检修盖及吊板防脱螺钉</x:v>
      </x:c>
      <x:c r="C127" s="13" t="str">
        <x:v>采购五金</x:v>
      </x:c>
      <x:c r="D127" s="13" t="str">
        <x:v>H02</x:v>
      </x:c>
      <x:c r="E127" s="20" t="n">
        <x:v>50</x:v>
      </x:c>
      <x:c r="F127" s="13" t="str">
        <x:v>H02 安装接口</x:v>
      </x:c>
      <x:c r="G127" s="13" t="str">
        <x:v>外购件，按厂家规格</x:v>
      </x:c>
      <x:c r="H127" s="13" t="str">
        <x:v>外购件，按厂家规格</x:v>
      </x:c>
      <x:c r="I127" s="13" t="str">
        <x:v>NBK中国官方询价/官方1688渠道；库存未核</x:v>
      </x:c>
      <x:c r="J127" s="13" t="str">
        <x:v>A04</x:v>
      </x:c>
      <x:c r="K127" s="13" t="str">
        <x:v>SSC-M5-8；中央盖4：T1.5攻M5防脱＋T1底盘＋T2补强＋DIN929 M5，夹紧栈4.5，啮合3.5。吊板4：T2攻M5防脱＋T3臂＋DIN929 M5，夹紧栈5，啮合3。；盖4点(840/1160,450/750)；吊板4点(890/1110,470/730)。SSC末牙4、颈4；不换长10型号。</x:v>
      </x:c>
    </x:row>
    <x:row r="128" ht="36" hidden="0" customHeight="1">
      <x:c r="A128" s="14" t="str">
        <x:v>H25</x:v>
      </x:c>
      <x:c r="B128" s="14" t="str">
        <x:v>成品过线衬套</x:v>
      </x:c>
      <x:c r="C128" s="14" t="str">
        <x:v>采购五金</x:v>
      </x:c>
      <x:c r="D128" s="14" t="str">
        <x:v>A06</x:v>
      </x:c>
      <x:c r="E128" s="19" t="n">
        <x:v>52</x:v>
      </x:c>
      <x:c r="F128" s="14" t="str">
        <x:v>A06 安装接口</x:v>
      </x:c>
      <x:c r="G128" s="14" t="str">
        <x:v>外购件，按厂家规格</x:v>
      </x:c>
      <x:c r="H128" s="14" t="str">
        <x:v>外购件，按厂家规格</x:v>
      </x:c>
      <x:c r="I128" s="14" t="str">
        <x:v>厂家美国官网可按只加购物车；中国配送和库存未核</x:v>
      </x:c>
      <x:c r="J128" s="14" t="str">
        <x:v>A06</x:v>
      </x:c>
      <x:c r="K128" s="14" t="str">
        <x:v>CHC-S18BL；W01孔φ14+0.5/0；按桌面/设备过线设计装20只；衬套面高出桌面2；替代R01 M01/M02定制金属护套。数量与桌面接口由主装配核对，不凭图示符号加计。</x:v>
      </x:c>
    </x:row>
    <x:row r="129" ht="36" hidden="0" customHeight="1">
      <x:c r="A129" s="13" t="str">
        <x:v>H26</x:v>
      </x:c>
      <x:c r="B129" s="13" t="str">
        <x:v>闲置孔成品盖</x:v>
      </x:c>
      <x:c r="C129" s="13" t="str">
        <x:v>采购五金</x:v>
      </x:c>
      <x:c r="D129" s="13" t="str">
        <x:v>A06</x:v>
      </x:c>
      <x:c r="E129" s="20" t="n">
        <x:v>52</x:v>
      </x:c>
      <x:c r="F129" s="13" t="str">
        <x:v>A06 安装接口</x:v>
      </x:c>
      <x:c r="G129" s="13" t="str">
        <x:v>外购件，按厂家规格</x:v>
      </x:c>
      <x:c r="H129" s="13" t="str">
        <x:v>外购件，按厂家规格</x:v>
      </x:c>
      <x:c r="I129" s="13" t="str">
        <x:v>国外经销商网购500只/包；单桌用10只，中国配送及实时库存未核</x:v>
      </x:c>
      <x:c r="J129" s="13" t="str">
        <x:v>A06</x:v>
      </x:c>
      <x:c r="K129" s="13" t="str">
        <x:v>045.00.332；装入CHC-S18BL内φ12；组合总突出约4；首件实配通过前不得当认证配套；与LAMP衬套属于跨品牌组合，需确认卡紧、拔出力及顶高；不伪称厂家认证套装。</x:v>
      </x:c>
    </x:row>
    <x:row r="130" ht="36" hidden="0" customHeight="1">
      <x:c r="A130" s="14" t="str">
        <x:v>H14</x:v>
      </x:c>
      <x:c r="B130" s="14" t="str">
        <x:v>检修盖及吊板M5焊接螺母</x:v>
      </x:c>
      <x:c r="C130" s="14" t="str">
        <x:v>采购五金</x:v>
      </x:c>
      <x:c r="D130" s="14" t="str">
        <x:v>H02</x:v>
      </x:c>
      <x:c r="E130" s="19" t="n">
        <x:v>50</x:v>
      </x:c>
      <x:c r="F130" s="14" t="str">
        <x:v>H02 安装接口</x:v>
      </x:c>
      <x:c r="G130" s="14" t="str">
        <x:v>外购件，按厂家规格</x:v>
      </x:c>
      <x:c r="H130" s="14" t="str">
        <x:v>外购件，按厂家规格</x:v>
      </x:c>
      <x:c r="I130" s="14" t="str">
        <x:v>准确规格商品/可选规格页可网购；中国配送及实时库存未核</x:v>
      </x:c>
      <x:c r="J130" s="14" t="str">
        <x:v>A04</x:v>
      </x:c>
      <x:c r="K130" s="14" t="str">
        <x:v>DIN929 M5 钢本色；盖T2补强片或吊板T3臂均φ7 H11定位后焊；盖4、板4；对应SSC-M5-8。；订单具体SKU、包装量和库存待采购核对。</x:v>
      </x:c>
    </x:row>
    <x:row r="131" ht="36" hidden="0" customHeight="1">
      <x:c r="A131" s="13" t="str">
        <x:v>H15</x:v>
      </x:c>
      <x:c r="B131" s="13" t="str">
        <x:v>横梁M6连接螺钉配套</x:v>
      </x:c>
      <x:c r="C131" s="13" t="str">
        <x:v>采购五金</x:v>
      </x:c>
      <x:c r="D131" s="13" t="str">
        <x:v>H02</x:v>
      </x:c>
      <x:c r="E131" s="20" t="n">
        <x:v>50</x:v>
      </x:c>
      <x:c r="F131" s="13" t="str">
        <x:v>H02 安装接口</x:v>
      </x:c>
      <x:c r="G131" s="13" t="str">
        <x:v>外购件，按厂家规格</x:v>
      </x:c>
      <x:c r="H131" s="13" t="str">
        <x:v>外购件，按厂家规格</x:v>
      </x:c>
      <x:c r="I131" s="13" t="str">
        <x:v>准确规格商品/可选规格页可网购；中国配送及实时库存未核</x:v>
      </x:c>
      <x:c r="J131" s="13" t="str">
        <x:v>S09A</x:v>
      </x:c>
      <x:c r="K131" s="13" t="str">
        <x:v>ISO4762 M6×20＋ISO7089平垫6；C筋T2＋每螺栓4mm调整片＋S09A T3端板＋DIN929M6；每端2点，共16套。；订单具体SKU、包装量和库存待采购核对。</x:v>
      </x:c>
    </x:row>
    <x:row r="132" ht="36" hidden="0" customHeight="1">
      <x:c r="A132" s="14" t="str">
        <x:v>H16</x:v>
      </x:c>
      <x:c r="B132" s="14" t="str">
        <x:v>横梁M6焊接螺母</x:v>
      </x:c>
      <x:c r="C132" s="14" t="str">
        <x:v>采购五金</x:v>
      </x:c>
      <x:c r="D132" s="14" t="str">
        <x:v>H02</x:v>
      </x:c>
      <x:c r="E132" s="19" t="n">
        <x:v>50</x:v>
      </x:c>
      <x:c r="F132" s="14" t="str">
        <x:v>H02 安装接口</x:v>
      </x:c>
      <x:c r="G132" s="14" t="str">
        <x:v>外购件，按厂家规格</x:v>
      </x:c>
      <x:c r="H132" s="14" t="str">
        <x:v>外购件，按厂家规格</x:v>
      </x:c>
      <x:c r="I132" s="14" t="str">
        <x:v>准确规格商品/可选规格页可网购；中国配送及实时库存未核</x:v>
      </x:c>
      <x:c r="J132" s="14" t="str">
        <x:v>S09A</x:v>
      </x:c>
      <x:c r="K132" s="14" t="str">
        <x:v>DIN929 M6 钢本色；S09A T3端板φ8 H11；焊母朝管腔；孔心(30,18)/(30,42)；订单具体SKU、包装量和库存待采购核对。</x:v>
      </x:c>
    </x:row>
    <x:row r="133" ht="36" hidden="0" customHeight="1">
      <x:c r="A133" s="13" t="str">
        <x:v>H17</x:v>
      </x:c>
      <x:c r="B133" s="13" t="str">
        <x:v>承托盒M4连接螺钉配套</x:v>
      </x:c>
      <x:c r="C133" s="13" t="str">
        <x:v>采购五金</x:v>
      </x:c>
      <x:c r="D133" s="13" t="str">
        <x:v>H02</x:v>
      </x:c>
      <x:c r="E133" s="20" t="n">
        <x:v>50</x:v>
      </x:c>
      <x:c r="F133" s="13" t="str">
        <x:v>H02 安装接口</x:v>
      </x:c>
      <x:c r="G133" s="13" t="str">
        <x:v>外购件，按厂家规格</x:v>
      </x:c>
      <x:c r="H133" s="13" t="str">
        <x:v>外购件，按厂家规格</x:v>
      </x:c>
      <x:c r="I133" s="13" t="str">
        <x:v>准确规格商品/可选规格页可网购；中国配送及实时库存未核</x:v>
      </x:c>
      <x:c r="J133" s="13" t="str">
        <x:v>S09C</x:v>
      </x:c>
      <x:c r="K133" s="13" t="str">
        <x:v>M4×25＋M4平垫；轴水平X；穿木板φ4.5后入抱角焊母；订单具体SKU、包装量和库存待采购核对。</x:v>
      </x:c>
    </x:row>
    <x:row r="134" ht="36" hidden="0" customHeight="1">
      <x:c r="A134" s="14" t="str">
        <x:v>H18</x:v>
      </x:c>
      <x:c r="B134" s="14" t="str">
        <x:v>承托盒M4焊接螺母</x:v>
      </x:c>
      <x:c r="C134" s="14" t="str">
        <x:v>采购五金</x:v>
      </x:c>
      <x:c r="D134" s="14" t="str">
        <x:v>H02</x:v>
      </x:c>
      <x:c r="E134" s="19" t="n">
        <x:v>50</x:v>
      </x:c>
      <x:c r="F134" s="14" t="str">
        <x:v>H02 安装接口</x:v>
      </x:c>
      <x:c r="G134" s="14" t="str">
        <x:v>外购件，按厂家规格</x:v>
      </x:c>
      <x:c r="H134" s="14" t="str">
        <x:v>外购件，按厂家规格</x:v>
      </x:c>
      <x:c r="I134" s="14" t="str">
        <x:v>准确规格商品/可选规格页可网购；中国配送及实时库存未核</x:v>
      </x:c>
      <x:c r="J134" s="14" t="str">
        <x:v>S09C</x:v>
      </x:c>
      <x:c r="K134" s="14" t="str">
        <x:v>DIN929 M4 钢本色；T2抱角φ6 H11定位焊；与M4×25配套；订单具体SKU、包装量和库存待采购核对。</x:v>
      </x:c>
    </x:row>
    <x:row r="135" ht="54" hidden="0" customHeight="1">
      <x:c r="A135" s="13" t="str">
        <x:v>H19</x:v>
      </x:c>
      <x:c r="B135" s="13" t="str">
        <x:v>翻盖独立承托角码</x:v>
      </x:c>
      <x:c r="C135" s="13" t="str">
        <x:v>采购五金</x:v>
      </x:c>
      <x:c r="D135" s="13" t="str">
        <x:v>H03</x:v>
      </x:c>
      <x:c r="E135" s="20" t="n">
        <x:v>51</x:v>
      </x:c>
      <x:c r="F135" s="13" t="str">
        <x:v>H03 安装接口</x:v>
      </x:c>
      <x:c r="G135" s="13" t="str">
        <x:v>外购件，按厂家规格</x:v>
      </x:c>
      <x:c r="H135" s="13" t="str">
        <x:v>外购件，按厂家规格</x:v>
      </x:c>
      <x:c r="I135" s="13" t="str">
        <x:v>成品或标准件可订购；未下单、实时库存未核</x:v>
      </x:c>
      <x:c r="J135" s="13" t="str">
        <x:v>A03</x:v>
      </x:c>
      <x:c r="K135" s="13" t="str">
        <x:v>SU-30S / 120-030-070；每盖两短端各1只；角码钢顶Z882−实测含胶软垫厚（名义879.77）；X450..480/720..750及+800；Y中心552/648；厂家安装目录配长螺钉会穿T15板，本项目另购φ3×12；水平面不锁翻盖。</x:v>
      </x:c>
    </x:row>
    <x:row r="136" ht="42" hidden="0" customHeight="1">
      <x:c r="A136" s="14" t="str">
        <x:v>H20</x:v>
      </x:c>
      <x:c r="B136" s="14" t="str">
        <x:v>角码木螺钉</x:v>
      </x:c>
      <x:c r="C136" s="14" t="str">
        <x:v>采购五金</x:v>
      </x:c>
      <x:c r="D136" s="14" t="str">
        <x:v>H03</x:v>
      </x:c>
      <x:c r="E136" s="19" t="n">
        <x:v>51</x:v>
      </x:c>
      <x:c r="F136" s="14" t="str">
        <x:v>H03 安装接口</x:v>
      </x:c>
      <x:c r="G136" s="14" t="str">
        <x:v>外购件，按厂家规格</x:v>
      </x:c>
      <x:c r="H136" s="14" t="str">
        <x:v>外购件，按厂家规格</x:v>
      </x:c>
      <x:c r="I136" s="14" t="str">
        <x:v>准确规格商品/可选规格页可网购；中国配送及实时库存未核</x:v>
      </x:c>
      <x:c r="J136" s="14" t="str">
        <x:v>A03</x:v>
      </x:c>
      <x:c r="K136" s="14" t="str">
        <x:v>WV007880 / φ3×12沉头TX10；经T2.5角码横向入T15板约9.5；预钻孔径按实际木料试样，深度限位；订单具体SKU、包装量和库存待采购核对。</x:v>
      </x:c>
    </x:row>
    <x:row r="137" ht="42" hidden="0" customHeight="1">
      <x:c r="A137" s="13" t="str">
        <x:v>H21</x:v>
      </x:c>
      <x:c r="B137" s="13" t="str">
        <x:v>角码软垫</x:v>
      </x:c>
      <x:c r="C137" s="13" t="str">
        <x:v>采购五金</x:v>
      </x:c>
      <x:c r="D137" s="13" t="str">
        <x:v>H03</x:v>
      </x:c>
      <x:c r="E137" s="20" t="n">
        <x:v>51</x:v>
      </x:c>
      <x:c r="F137" s="13" t="str">
        <x:v>H03 安装接口</x:v>
      </x:c>
      <x:c r="G137" s="13" t="str">
        <x:v>外购件，按厂家规格</x:v>
      </x:c>
      <x:c r="H137" s="13" t="str">
        <x:v>外购件，按厂家规格</x:v>
      </x:c>
      <x:c r="I137" s="13" t="str">
        <x:v>德国厂家网店可下单1片；国内配送和库存未核</x:v>
      </x:c>
      <x:c r="J137" s="13" t="str">
        <x:v>A03</x:v>
      </x:c>
      <x:c r="K137" s="13" t="str">
        <x:v>100191 / EAN4260627935185；含胶名义2.23；按实测总厚定位角码钢顶Z882−实测厚，使软垫顶882；Shore A约65；每桌切8片净面积2304mm²；1片原板足够。含胶厚必须到货实测。</x:v>
      </x:c>
    </x:row>
    <x:row r="138" ht="54" hidden="0" customHeight="1">
      <x:c r="A138" s="14" t="str">
        <x:v>B01</x:v>
      </x:c>
      <x:c r="B138" s="14" t="str">
        <x:v>成品毛刷条</x:v>
      </x:c>
      <x:c r="C138" s="14" t="str">
        <x:v>采购五金</x:v>
      </x:c>
      <x:c r="D138" s="14" t="str">
        <x:v>H01</x:v>
      </x:c>
      <x:c r="E138" s="19" t="n">
        <x:v>49</x:v>
      </x:c>
      <x:c r="F138" s="14" t="str">
        <x:v>H01 安装接口</x:v>
      </x:c>
      <x:c r="G138" s="14" t="str">
        <x:v>外购件，按厂家规格</x:v>
      </x:c>
      <x:c r="H138" s="14" t="str">
        <x:v>外购件，按厂家规格</x:v>
      </x:c>
      <x:c r="I138" s="14" t="str">
        <x:v>成品或标准件可订购；未下单、实时库存未核</x:v>
      </x:c>
      <x:c r="J138" s="14" t="str">
        <x:v>A03</x:v>
      </x:c>
      <x:c r="K138" s="14" t="str">
        <x:v>RS PRO 326-9808；切160+298+500+298+160=1416；4处1缝合计覆盖1420；低Y侧28×7槽，刷毛向+Y，尖端留1；两个298段随W02A翻盖，其余3段固定W01；采购2m含584mm下料余量；取消不明B02挡条。</x:v>
      </x:c>
    </x:row>
    <x:row r="139" ht="42" hidden="0" customHeight="1">
      <x:c r="A139" s="13" t="str">
        <x:v>B03</x:v>
      </x:c>
      <x:c r="B139" s="13" t="str">
        <x:v>毛刷固定木螺钉</x:v>
      </x:c>
      <x:c r="C139" s="13" t="str">
        <x:v>采购五金</x:v>
      </x:c>
      <x:c r="D139" s="13" t="str">
        <x:v>H01</x:v>
      </x:c>
      <x:c r="E139" s="20" t="n">
        <x:v>49</x:v>
      </x:c>
      <x:c r="F139" s="13" t="str">
        <x:v>H01 安装接口</x:v>
      </x:c>
      <x:c r="G139" s="13" t="str">
        <x:v>外购件，按厂家规格</x:v>
      </x:c>
      <x:c r="H139" s="13" t="str">
        <x:v>外购件，按厂家规格</x:v>
      </x:c>
      <x:c r="I139" s="13" t="str">
        <x:v>准确规格商品/可选规格页可网购；中国配送及实时库存未核</x:v>
      </x:c>
      <x:c r="J139" s="13" t="str">
        <x:v>A03</x:v>
      </x:c>
      <x:c r="K139" s="13" t="str">
        <x:v>000338aa230623qmaneu / φ3×8；成品铝型材自配φ3.5孔；不得把型材截面剪短；木板槽后余厚11，限深避免穿面；订单具体SKU、包装量和库存待采购核对。</x:v>
      </x:c>
    </x:row>
    <x:row r="140" ht="42" hidden="0" customHeight="1">
      <x:c r="A140" s="14" t="str">
        <x:v>H22</x:v>
      </x:c>
      <x:c r="B140" s="14" t="str">
        <x:v>横梁调整垫片</x:v>
      </x:c>
      <x:c r="C140" s="14" t="str">
        <x:v>采购五金</x:v>
      </x:c>
      <x:c r="D140" s="14" t="str">
        <x:v>H02</x:v>
      </x:c>
      <x:c r="E140" s="19" t="n">
        <x:v>50</x:v>
      </x:c>
      <x:c r="F140" s="14" t="str">
        <x:v>H02 安装接口</x:v>
      </x:c>
      <x:c r="G140" s="14" t="str">
        <x:v>外购件，按厂家规格</x:v>
      </x:c>
      <x:c r="H140" s="14" t="str">
        <x:v>外购件，按厂家规格</x:v>
      </x:c>
      <x:c r="I140" s="14" t="str">
        <x:v>厂家网店100片/包可加入购物车；国内配送和库存未核</x:v>
      </x:c>
      <x:c r="J140" s="14" t="str">
        <x:v>S09A</x:v>
      </x:c>
      <x:c r="K140" s="14" t="str">
        <x:v>W29338 / DIN988 6×12×1；16个M6螺栓位置×4片=64；每端2螺栓8片；使478总长梁装入486内净距；成品调整片，不能按8个梁端误计32；安装实测总厚及孔径通过性。</x:v>
      </x:c>
    </x:row>
    <x:row r="141" ht="42" hidden="0" customHeight="1">
      <x:c r="A141" s="13" t="str">
        <x:v>H23</x:v>
      </x:c>
      <x:c r="B141" s="13" t="str">
        <x:v>检修盖及吊板防坠索</x:v>
      </x:c>
      <x:c r="C141" s="13" t="str">
        <x:v>采购五金</x:v>
      </x:c>
      <x:c r="D141" s="13" t="str">
        <x:v>H01</x:v>
      </x:c>
      <x:c r="E141" s="20" t="n">
        <x:v>49</x:v>
      </x:c>
      <x:c r="F141" s="13" t="str">
        <x:v>H01 安装接口</x:v>
      </x:c>
      <x:c r="G141" s="13" t="str">
        <x:v>外购件，按厂家规格</x:v>
      </x:c>
      <x:c r="H141" s="13" t="str">
        <x:v>外购件，按厂家规格</x:v>
      </x:c>
      <x:c r="I141" s="13" t="str">
        <x:v>经销网店可加入购物篮但页面无现货；须核交期及中国配送</x:v>
      </x:c>
      <x:c r="J141" s="13" t="str">
        <x:v>A04</x:v>
      </x:c>
      <x:c r="K141" s="13" t="str">
        <x:v>GN111.2-150-C-BL；盖2根、吊板2根；载板平差X40/Y20、初始Z差2，下放约175.45；盖竖挂平差10、上下差182.73；有效长度按实物核；厂家1800N是静载参考，非动态跌落额定。固定端片两面大垫夹持，盖/吊板下放全过程托住，防坠仅兜底。</x:v>
      </x:c>
    </x:row>
    <x:row r="142" ht="54" hidden="0" customHeight="1">
      <x:c r="A142" s="14" t="str">
        <x:v>H24</x:v>
      </x:c>
      <x:c r="B142" s="14" t="str">
        <x:v>防坠索端片紧固配套</x:v>
      </x:c>
      <x:c r="C142" s="14" t="str">
        <x:v>采购五金</x:v>
      </x:c>
      <x:c r="D142" s="14" t="str">
        <x:v>H01</x:v>
      </x:c>
      <x:c r="E142" s="19" t="n">
        <x:v>49</x:v>
      </x:c>
      <x:c r="F142" s="14" t="str">
        <x:v>H01 安装接口</x:v>
      </x:c>
      <x:c r="G142" s="14" t="str">
        <x:v>外购件，按厂家规格</x:v>
      </x:c>
      <x:c r="H142" s="14" t="str">
        <x:v>外购件，按厂家规格</x:v>
      </x:c>
      <x:c r="I142" s="14" t="str">
        <x:v>螺钉准确型号可网购；套内垫圈与螺母分购，国内配送及库存未核</x:v>
      </x:c>
      <x:c r="J142" s="14" t="str">
        <x:v>A04</x:v>
      </x:c>
      <x:c r="K142" s="14" t="str">
        <x:v>ISO7045 M4×16＋2×DIN9021 M4＋DIN985 M4；悬臂螺钉从上向下，头＋上垫最大4.25；端片直接贴钢件下侧，下垫及防松母夹紧；木底净0.75；悬臂T3＋两垫T1＋端片T1.5＋防松母高5，M4×16末端余4.5；已核下方不撞梁/箱体。盖锚(860/1140,440)，底盘锚同X、Y400。</x:v>
      </x:c>
    </x:row>
    <x:row r="143" ht="36" hidden="0" customHeight="1">
      <x:c r="A143" s="13" t="str">
        <x:v>A06</x:v>
      </x:c>
      <x:c r="B143" s="13" t="str">
        <x:v>成品护口与孔盖组件</x:v>
      </x:c>
      <x:c r="C143" s="13" t="str">
        <x:v>装配</x:v>
      </x:c>
      <x:c r="D143" s="13" t="str">
        <x:v>A06</x:v>
      </x:c>
      <x:c r="E143" s="20" t="n">
        <x:v>52</x:v>
      </x:c>
      <x:c r="F143" s="13" t="str">
        <x:v>A06 轴向剖面</x:v>
      </x:c>
      <x:c r="G143" s="13" t="str">
        <x:v>A06 俯视</x:v>
      </x:c>
      <x:c r="H143" s="13" t="str">
        <x:v>A06 轴对称右视</x:v>
      </x:c>
      <x:c r="I143" s="13" t="str">
        <x:v>首件跨品牌配装待核</x:v>
      </x:c>
      <x:c r="J143" s="13" t="str">
        <x:v>A03</x:v>
      </x:c>
      <x:c r="K143" s="13" t="str">
        <x:v>成品H25/H26替代R01机加工M01/M02/M03；装配计数不叠加采购子件。</x:v>
      </x:c>
    </x:row>
  </x:sheetData>
  <x:conditionalFormatting sqref="F8:H143">
    <x:cfRule type="containsText" dxfId="2" priority="1" operator="containsText" text="待"/>
    <x:cfRule type="containsText" dxfId="3" priority="2" operator="containsText" text="缺失"/>
  </x:conditionalFormatting>
  <x:pageMargins left="0.7" right="0.7" top="0.75" bottom="0.75" header="0.3" footer="0.3"/>
  <x:tableParts count="1">
    <x:tablePart xmlns:r="http://schemas.openxmlformats.org/officeDocument/2006/relationships" r:id="Rbbdeff0f537d4ce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110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交付资料复核记录</x:v>
      </x:c>
      <x:c r="B2" s="2"/>
      <x:c r="C2" s="2"/>
      <x:c r="D2" s="2"/>
    </x:row>
    <x:row r="3" ht="30" customHeight="1">
      <x:c r="A3" s="21" t="str">
        <x:v>HW73005-L2000　L2000体验桌　R03　尺寸单位 mm</x:v>
      </x:c>
      <x:c r="B3" s="4"/>
      <x:c r="C3" s="4"/>
      <x:c r="D3" s="4"/>
    </x:row>
    <x:row r="4" ht="30" customHeight="1">
      <x:c r="A4" s="2" t="str">
        <x:v>批量（套）</x:v>
      </x:c>
      <x:c r="B4" s="23" t="n">
        <x:f>'零件清单'!$B$4</x:f>
        <x:v>1</x:v>
      </x:c>
      <x:c r="C4" s="2" t="str">
        <x:v>版次日期</x:v>
      </x:c>
      <x:c r="D4" s="30" t="n">
        <x:v>46296</x:v>
      </x:c>
    </x:row>
    <x:row r="5" ht="30" customHeight="1">
      <x:c r="A5" s="2" t="str">
        <x:v>记录资料内部校核及尚待确认的事项；不代表工厂或接收方已批准下单。</x:v>
      </x:c>
      <x:c r="B5" s="2"/>
      <x:c r="C5" s="2"/>
      <x:c r="D5" s="2"/>
    </x:row>
    <x:row r="6" ht="30" customHeight="1">
      <x:c r="A6" s="2"/>
      <x:c r="B6" s="2"/>
      <x:c r="C6" s="2"/>
      <x:c r="D6" s="2"/>
    </x:row>
    <x:row r="7" ht="32" customHeight="1">
      <x:c r="A7" s="9" t="str">
        <x:v>类别</x:v>
      </x:c>
      <x:c r="B7" s="10" t="str">
        <x:v>复核对象</x:v>
      </x:c>
      <x:c r="C7" s="10" t="str">
        <x:v>结果</x:v>
      </x:c>
      <x:c r="D7" s="11" t="str">
        <x:v>证据 / 处理说明</x:v>
      </x:c>
    </x:row>
    <x:row r="8" ht="36" hidden="0" customHeight="1">
      <x:c r="A8" s="14" t="str">
        <x:v>图纸页数</x:v>
      </x:c>
      <x:c r="B8" s="14" t="str">
        <x:v>R03</x:v>
      </x:c>
      <x:c r="C8" s="14" t="str">
        <x:v>52</x:v>
      </x:c>
      <x:c r="D8" s="14" t="str">
        <x:v>第3轮构建</x:v>
      </x:c>
    </x:row>
    <x:row r="9" ht="36" hidden="0" customHeight="1">
      <x:c r="A9" s="13" t="str">
        <x:v>零件条目数</x:v>
      </x:c>
      <x:c r="B9" s="13" t="str">
        <x:v>R03</x:v>
      </x:c>
      <x:c r="C9" s="13" t="str">
        <x:v>84</x:v>
      </x:c>
      <x:c r="D9" s="13" t="str">
        <x:v>第3轮构建</x:v>
      </x:c>
    </x:row>
    <x:row r="10" ht="36" hidden="0" customHeight="1">
      <x:c r="A10" s="14" t="str">
        <x:v>三维装配实例数</x:v>
      </x:c>
      <x:c r="B10" s="14" t="str">
        <x:v>R03</x:v>
      </x:c>
      <x:c r="C10" s="14" t="str">
        <x:v>449</x:v>
      </x:c>
      <x:c r="D10" s="14" t="str">
        <x:v>第3轮构建</x:v>
      </x:c>
    </x:row>
    <x:row r="11" ht="36" hidden="0" customHeight="1">
      <x:c r="A11" s="13" t="str">
        <x:v>待建模零件</x:v>
      </x:c>
      <x:c r="B11" s="13" t="str">
        <x:v>R03</x:v>
      </x:c>
      <x:c r="C11" s="13" t="str">
        <x:v>无</x:v>
      </x:c>
      <x:c r="D11" s="13" t="str">
        <x:v>第3轮构建</x:v>
      </x:c>
    </x:row>
    <x:row r="12" ht="36" hidden="0" customHeight="1">
      <x:c r="A12" s="14" t="str">
        <x:v>原生尺寸标注数</x:v>
      </x:c>
      <x:c r="B12" s="14" t="str">
        <x:v>R03</x:v>
      </x:c>
      <x:c r="C12" s="14" t="str">
        <x:v>212</x:v>
      </x:c>
      <x:c r="D12" s="14" t="str">
        <x:v>第3轮构建</x:v>
      </x:c>
    </x:row>
    <x:row r="13" ht="36" hidden="0" customHeight="1">
      <x:c r="A13" s="13" t="str">
        <x:v>CAD审计错误数</x:v>
      </x:c>
      <x:c r="B13" s="13" t="str">
        <x:v>R03</x:v>
      </x:c>
      <x:c r="C13" s="13" t="str">
        <x:v>0</x:v>
      </x:c>
      <x:c r="D13" s="13" t="str">
        <x:v>第3轮构建</x:v>
      </x:c>
    </x:row>
    <x:row r="14" ht="36" hidden="0" customHeight="1">
      <x:c r="A14" s="14" t="str">
        <x:v>CAD审计修复数</x:v>
      </x:c>
      <x:c r="B14" s="14" t="str">
        <x:v>R03</x:v>
      </x:c>
      <x:c r="C14" s="14" t="str">
        <x:v>0</x:v>
      </x:c>
      <x:c r="D14" s="14" t="str">
        <x:v>第3轮构建</x:v>
      </x:c>
    </x:row>
    <x:row r="15" ht="36" hidden="0" customHeight="1">
      <x:c r="A15" s="13" t="str">
        <x:v>尺寸数值覆写</x:v>
      </x:c>
      <x:c r="B15" s="13" t="str">
        <x:v>R03</x:v>
      </x:c>
      <x:c r="C15" s="13" t="str">
        <x:v>无</x:v>
      </x:c>
      <x:c r="D15" s="13" t="str">
        <x:v>第3轮构建</x:v>
      </x:c>
    </x:row>
    <x:row r="16" ht="36" hidden="0" customHeight="1">
      <x:c r="A16" s="14" t="str">
        <x:v>零件编号一致</x:v>
      </x:c>
      <x:c r="B16" s="14" t="str">
        <x:v>R03</x:v>
      </x:c>
      <x:c r="C16" s="14" t="str">
        <x:v>通过</x:v>
      </x:c>
      <x:c r="D16" s="14" t="str">
        <x:v>第3轮构建</x:v>
      </x:c>
    </x:row>
    <x:row r="17" ht="36" hidden="0" customHeight="1">
      <x:c r="A17" s="13" t="str">
        <x:v>图号关联完整</x:v>
      </x:c>
      <x:c r="B17" s="13" t="str">
        <x:v>R03</x:v>
      </x:c>
      <x:c r="C17" s="13" t="str">
        <x:v>通过</x:v>
      </x:c>
      <x:c r="D17" s="13" t="str">
        <x:v>第3轮构建</x:v>
      </x:c>
    </x:row>
    <x:row r="18" ht="42" hidden="0" customHeight="1">
      <x:c r="A18" s="14" t="str">
        <x:v>图面目检</x:v>
      </x:c>
      <x:c r="B18" s="14" t="str">
        <x:v>R03</x:v>
      </x:c>
      <x:c r="C18" s="14" t="str">
        <x:v>52页图面分工目检通过；末轮3张重点图独立复核通过；不含接收方CAD及工厂首件</x:v>
      </x:c>
      <x:c r="D18" s="14" t="str">
        <x:v>第三轮：root总览及索引14页、机械33有效页、电气6页；重叠总装1页；atlas末轮3页独立复核</x:v>
      </x:c>
    </x:row>
    <x:row r="19" ht="36" hidden="0" customHeight="1">
      <x:c r="A19" s="13" t="str">
        <x:v>接收方CAD验收</x:v>
      </x:c>
      <x:c r="B19" s="13" t="str">
        <x:v>R03</x:v>
      </x:c>
      <x:c r="C19" s="13" t="str">
        <x:v>未执行</x:v>
      </x:c>
      <x:c r="D19" s="13" t="str">
        <x:v>第3轮构建</x:v>
      </x:c>
    </x:row>
    <x:row r="20" ht="36" hidden="0" customHeight="1">
      <x:c r="A20" s="14" t="str">
        <x:v>工厂首件验收</x:v>
      </x:c>
      <x:c r="B20" s="14" t="str">
        <x:v>R03</x:v>
      </x:c>
      <x:c r="C20" s="14" t="str">
        <x:v>未执行</x:v>
      </x:c>
      <x:c r="D20" s="14" t="str">
        <x:v>第3轮构建</x:v>
      </x:c>
    </x:row>
    <x:row r="21" ht="36" hidden="0" customHeight="1">
      <x:c r="A21" s="13" t="str">
        <x:v>原生三维实例数</x:v>
      </x:c>
      <x:c r="B21" s="13" t="str">
        <x:v>R03</x:v>
      </x:c>
      <x:c r="C21" s="13" t="str">
        <x:v>449</x:v>
      </x:c>
      <x:c r="D21" s="13" t="str">
        <x:v>第3轮构建</x:v>
      </x:c>
    </x:row>
    <x:row r="22" ht="36" hidden="0" customHeight="1">
      <x:c r="A22" s="14" t="str">
        <x:v>原生三维图纸索引绑定</x:v>
      </x:c>
      <x:c r="B22" s="14" t="str">
        <x:v>R03</x:v>
      </x:c>
      <x:c r="C22" s="14" t="str">
        <x:v>通过</x:v>
      </x:c>
      <x:c r="D22" s="14" t="str">
        <x:v>第3轮构建</x:v>
      </x:c>
    </x:row>
  </x:sheetData>
  <x:conditionalFormatting sqref="C8:C22">
    <x:cfRule type="containsText" dxfId="4" priority="1" operator="containsText" text="待"/>
  </x:conditionalFormatting>
  <x:pageMargins left="0.7" right="0.7" top="0.75" bottom="0.75" header="0.3" footer="0.3"/>
  <x:tableParts count="1">
    <x:tablePart xmlns:r="http://schemas.openxmlformats.org/officeDocument/2006/relationships" r:id="Rd362b56b775940f8"/>
  </x:tableParts>
</x:worksheet>
</file>